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Lekhana NITK\projects\Cricket data scraping\"/>
    </mc:Choice>
  </mc:AlternateContent>
  <xr:revisionPtr revIDLastSave="0" documentId="13_ncr:1_{B90374BB-E383-46CF-A2BF-77A89F1058C4}" xr6:coauthVersionLast="47" xr6:coauthVersionMax="47" xr10:uidLastSave="{00000000-0000-0000-0000-000000000000}"/>
  <bookViews>
    <workbookView xWindow="-110" yWindow="-110" windowWidth="19420" windowHeight="10300" activeTab="3" xr2:uid="{2BBF1A81-C896-4A5F-B74C-B8152429C944}"/>
  </bookViews>
  <sheets>
    <sheet name="2022 Data" sheetId="2" r:id="rId1"/>
    <sheet name="2023 Data" sheetId="1" r:id="rId2"/>
    <sheet name="2024 Data" sheetId="3" r:id="rId3"/>
    <sheet name="All season Rankings" sheetId="7" r:id="rId4"/>
    <sheet name="Overall Ranks" sheetId="5" r:id="rId5"/>
    <sheet name=" Ranking based on Avg SDI_x0009__x0009_" sheetId="8" r:id="rId6"/>
    <sheet name="Team wise graphs" sheetId="9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2" l="1"/>
  <c r="P3" i="2"/>
  <c r="P4" i="2"/>
  <c r="P5" i="2"/>
  <c r="P6" i="2"/>
  <c r="P7" i="2"/>
  <c r="P8" i="2"/>
  <c r="P9" i="2"/>
  <c r="P10" i="2"/>
  <c r="P11" i="2"/>
  <c r="H17" i="3"/>
  <c r="H32" i="3"/>
  <c r="AF20" i="7"/>
  <c r="AG20" i="7"/>
  <c r="AF21" i="7"/>
  <c r="AG21" i="7"/>
  <c r="AF22" i="7"/>
  <c r="AG22" i="7"/>
  <c r="AF23" i="7"/>
  <c r="AG23" i="7"/>
  <c r="AF24" i="7"/>
  <c r="AG24" i="7"/>
  <c r="AF25" i="7"/>
  <c r="AG25" i="7"/>
  <c r="AF26" i="7"/>
  <c r="AG26" i="7"/>
  <c r="AF27" i="7"/>
  <c r="AG27" i="7"/>
  <c r="AF28" i="7"/>
  <c r="AG28" i="7"/>
  <c r="AG19" i="7"/>
  <c r="AF19" i="7"/>
  <c r="AF7" i="7"/>
  <c r="AF8" i="7"/>
  <c r="AF9" i="7"/>
  <c r="AF10" i="7"/>
  <c r="AF11" i="7"/>
  <c r="AF12" i="7"/>
  <c r="AF13" i="7"/>
  <c r="AF14" i="7"/>
  <c r="AF15" i="7"/>
  <c r="AF6" i="7"/>
  <c r="AC20" i="7"/>
  <c r="AC21" i="7"/>
  <c r="AC22" i="7"/>
  <c r="AC23" i="7"/>
  <c r="AC24" i="7"/>
  <c r="AC25" i="7"/>
  <c r="AC26" i="7"/>
  <c r="AC27" i="7"/>
  <c r="AC28" i="7"/>
  <c r="AC19" i="7"/>
  <c r="AB20" i="7"/>
  <c r="AB21" i="7"/>
  <c r="AB22" i="7"/>
  <c r="AB23" i="7"/>
  <c r="AB24" i="7"/>
  <c r="AB25" i="7"/>
  <c r="AB26" i="7"/>
  <c r="AB27" i="7"/>
  <c r="AB28" i="7"/>
  <c r="AB19" i="7"/>
  <c r="Y20" i="7"/>
  <c r="Z20" i="7"/>
  <c r="Y21" i="7"/>
  <c r="Z21" i="7"/>
  <c r="Y22" i="7"/>
  <c r="Z22" i="7"/>
  <c r="Y23" i="7"/>
  <c r="Z23" i="7"/>
  <c r="Y24" i="7"/>
  <c r="Z24" i="7"/>
  <c r="Y25" i="7"/>
  <c r="Z25" i="7"/>
  <c r="Y26" i="7"/>
  <c r="Z26" i="7"/>
  <c r="Y27" i="7"/>
  <c r="Z27" i="7"/>
  <c r="Y28" i="7"/>
  <c r="Z28" i="7"/>
  <c r="Z19" i="7"/>
  <c r="Y19" i="7"/>
  <c r="W20" i="7"/>
  <c r="W21" i="7"/>
  <c r="W22" i="7"/>
  <c r="W23" i="7"/>
  <c r="W24" i="7"/>
  <c r="W25" i="7"/>
  <c r="W26" i="7"/>
  <c r="W27" i="7"/>
  <c r="W28" i="7"/>
  <c r="W19" i="7"/>
  <c r="V20" i="7"/>
  <c r="V21" i="7"/>
  <c r="V22" i="7"/>
  <c r="V23" i="7"/>
  <c r="V24" i="7"/>
  <c r="V25" i="7"/>
  <c r="V26" i="7"/>
  <c r="V27" i="7"/>
  <c r="V28" i="7"/>
  <c r="V19" i="7"/>
  <c r="AC7" i="7"/>
  <c r="AC8" i="7"/>
  <c r="AC9" i="7"/>
  <c r="AC10" i="7"/>
  <c r="AC11" i="7"/>
  <c r="AC12" i="7"/>
  <c r="AC13" i="7"/>
  <c r="AC14" i="7"/>
  <c r="AC15" i="7"/>
  <c r="AC6" i="7"/>
  <c r="AB7" i="7"/>
  <c r="AB8" i="7"/>
  <c r="AB9" i="7"/>
  <c r="AB10" i="7"/>
  <c r="AB11" i="7"/>
  <c r="AB12" i="7"/>
  <c r="AB13" i="7"/>
  <c r="AB14" i="7"/>
  <c r="AB15" i="7"/>
  <c r="AB6" i="7"/>
  <c r="Z7" i="7"/>
  <c r="Z8" i="7"/>
  <c r="Z9" i="7"/>
  <c r="Z10" i="7"/>
  <c r="Z11" i="7"/>
  <c r="Z12" i="7"/>
  <c r="Z13" i="7"/>
  <c r="Z14" i="7"/>
  <c r="Z15" i="7"/>
  <c r="Z6" i="7"/>
  <c r="Y7" i="7"/>
  <c r="Y8" i="7"/>
  <c r="Y9" i="7"/>
  <c r="Y10" i="7"/>
  <c r="Y11" i="7"/>
  <c r="Y12" i="7"/>
  <c r="Y13" i="7"/>
  <c r="Y14" i="7"/>
  <c r="Y15" i="7"/>
  <c r="Y6" i="7"/>
  <c r="W7" i="7"/>
  <c r="W8" i="7"/>
  <c r="W9" i="7"/>
  <c r="W10" i="7"/>
  <c r="W11" i="7"/>
  <c r="W12" i="7"/>
  <c r="W13" i="7"/>
  <c r="W14" i="7"/>
  <c r="W15" i="7"/>
  <c r="W6" i="7"/>
  <c r="V7" i="7"/>
  <c r="V8" i="7"/>
  <c r="V9" i="7"/>
  <c r="V10" i="7"/>
  <c r="V11" i="7"/>
  <c r="V12" i="7"/>
  <c r="V13" i="7"/>
  <c r="V14" i="7"/>
  <c r="V15" i="7"/>
  <c r="V6" i="7"/>
  <c r="L20" i="7"/>
  <c r="M20" i="7"/>
  <c r="L21" i="7"/>
  <c r="M21" i="7"/>
  <c r="L22" i="7"/>
  <c r="M22" i="7"/>
  <c r="L23" i="7"/>
  <c r="M23" i="7"/>
  <c r="L24" i="7"/>
  <c r="M24" i="7"/>
  <c r="L25" i="7"/>
  <c r="M25" i="7"/>
  <c r="L26" i="7"/>
  <c r="M26" i="7"/>
  <c r="L27" i="7"/>
  <c r="M27" i="7"/>
  <c r="L28" i="7"/>
  <c r="M28" i="7"/>
  <c r="M19" i="7"/>
  <c r="L19" i="7"/>
  <c r="Q7" i="7"/>
  <c r="Q8" i="7"/>
  <c r="Q9" i="7"/>
  <c r="Q10" i="7"/>
  <c r="Q11" i="7"/>
  <c r="Q12" i="7"/>
  <c r="Q13" i="7"/>
  <c r="Q14" i="7"/>
  <c r="Q15" i="7"/>
  <c r="Q6" i="7"/>
  <c r="P7" i="7"/>
  <c r="P8" i="7"/>
  <c r="P9" i="7"/>
  <c r="P10" i="7"/>
  <c r="P11" i="7"/>
  <c r="P12" i="7"/>
  <c r="P13" i="7"/>
  <c r="P14" i="7"/>
  <c r="P15" i="7"/>
  <c r="P6" i="7"/>
  <c r="O7" i="7"/>
  <c r="O8" i="7"/>
  <c r="O9" i="7"/>
  <c r="O10" i="7"/>
  <c r="O11" i="7"/>
  <c r="O12" i="7"/>
  <c r="O13" i="7"/>
  <c r="O14" i="7"/>
  <c r="O15" i="7"/>
  <c r="O6" i="7"/>
  <c r="N7" i="7"/>
  <c r="N8" i="7"/>
  <c r="N9" i="7"/>
  <c r="N10" i="7"/>
  <c r="N11" i="7"/>
  <c r="N12" i="7"/>
  <c r="N13" i="7"/>
  <c r="N14" i="7"/>
  <c r="N15" i="7"/>
  <c r="N6" i="7"/>
  <c r="L6" i="7"/>
  <c r="M6" i="7"/>
  <c r="K7" i="7"/>
  <c r="K8" i="7"/>
  <c r="K9" i="7"/>
  <c r="K10" i="7"/>
  <c r="K11" i="7"/>
  <c r="K12" i="7"/>
  <c r="K13" i="7"/>
  <c r="K14" i="7"/>
  <c r="K15" i="7"/>
  <c r="K6" i="7"/>
  <c r="U2" i="2"/>
  <c r="T2" i="2"/>
  <c r="V2" i="2" s="1"/>
  <c r="S17" i="5"/>
  <c r="S18" i="5"/>
  <c r="S19" i="5"/>
  <c r="S20" i="5"/>
  <c r="S21" i="5"/>
  <c r="S22" i="5"/>
  <c r="S23" i="5"/>
  <c r="S24" i="5"/>
  <c r="S25" i="5"/>
  <c r="S16" i="5"/>
  <c r="R17" i="5"/>
  <c r="R18" i="5"/>
  <c r="R19" i="5"/>
  <c r="R20" i="5"/>
  <c r="R21" i="5"/>
  <c r="R22" i="5"/>
  <c r="R23" i="5"/>
  <c r="R24" i="5"/>
  <c r="R25" i="5"/>
  <c r="R16" i="5"/>
  <c r="E22" i="9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15" i="9"/>
  <c r="D15" i="9" s="1"/>
  <c r="D11" i="9"/>
  <c r="B9" i="9"/>
  <c r="E9" i="9" s="1"/>
  <c r="B10" i="9"/>
  <c r="B11" i="9"/>
  <c r="B12" i="9"/>
  <c r="D12" i="9" s="1"/>
  <c r="B13" i="9"/>
  <c r="E13" i="9" s="1"/>
  <c r="B5" i="9"/>
  <c r="B6" i="9"/>
  <c r="B7" i="9"/>
  <c r="B8" i="9"/>
  <c r="D8" i="9" s="1"/>
  <c r="B4" i="9"/>
  <c r="Z3" i="5"/>
  <c r="Z4" i="5"/>
  <c r="Z5" i="5"/>
  <c r="Z6" i="5"/>
  <c r="Z7" i="5"/>
  <c r="Z8" i="5"/>
  <c r="Z9" i="5"/>
  <c r="Z10" i="5"/>
  <c r="Z11" i="5"/>
  <c r="Z2" i="5"/>
  <c r="U3" i="5"/>
  <c r="U4" i="5"/>
  <c r="U5" i="5"/>
  <c r="U6" i="5"/>
  <c r="U7" i="5"/>
  <c r="U8" i="5"/>
  <c r="U9" i="5"/>
  <c r="U10" i="5"/>
  <c r="U11" i="5"/>
  <c r="U2" i="5"/>
  <c r="E6" i="9" s="1"/>
  <c r="T3" i="5"/>
  <c r="T4" i="5"/>
  <c r="T5" i="5"/>
  <c r="T6" i="5"/>
  <c r="T7" i="5"/>
  <c r="T8" i="5"/>
  <c r="T9" i="5"/>
  <c r="T10" i="5"/>
  <c r="T11" i="5"/>
  <c r="T2" i="5"/>
  <c r="M3" i="5"/>
  <c r="M4" i="5"/>
  <c r="M5" i="5"/>
  <c r="M6" i="5"/>
  <c r="M7" i="5"/>
  <c r="M8" i="5"/>
  <c r="M9" i="5"/>
  <c r="M10" i="5"/>
  <c r="M11" i="5"/>
  <c r="M2" i="5"/>
  <c r="L3" i="5"/>
  <c r="L4" i="5"/>
  <c r="L5" i="5"/>
  <c r="L6" i="5"/>
  <c r="L7" i="5"/>
  <c r="L8" i="5"/>
  <c r="L9" i="5"/>
  <c r="L10" i="5"/>
  <c r="L11" i="5"/>
  <c r="L2" i="5"/>
  <c r="Q3" i="5"/>
  <c r="Q4" i="5"/>
  <c r="Q5" i="5"/>
  <c r="Q6" i="5"/>
  <c r="Q7" i="5"/>
  <c r="Q8" i="5"/>
  <c r="Q9" i="5"/>
  <c r="Q10" i="5"/>
  <c r="Q11" i="5"/>
  <c r="Q2" i="5"/>
  <c r="P3" i="5"/>
  <c r="P4" i="5"/>
  <c r="P5" i="5"/>
  <c r="P6" i="5"/>
  <c r="P7" i="5"/>
  <c r="P8" i="5"/>
  <c r="P9" i="5"/>
  <c r="P10" i="5"/>
  <c r="P11" i="5"/>
  <c r="P2" i="5"/>
  <c r="C2" i="5"/>
  <c r="C15" i="9" s="1"/>
  <c r="S9" i="3"/>
  <c r="H26" i="3" s="1"/>
  <c r="I2" i="5" s="1"/>
  <c r="I4" i="5"/>
  <c r="H3" i="5"/>
  <c r="H4" i="5"/>
  <c r="H5" i="5"/>
  <c r="H6" i="5"/>
  <c r="H7" i="5"/>
  <c r="H8" i="5"/>
  <c r="H9" i="5"/>
  <c r="H10" i="5"/>
  <c r="H11" i="5"/>
  <c r="H2" i="5"/>
  <c r="G2" i="5"/>
  <c r="F17" i="1"/>
  <c r="H17" i="1" s="1"/>
  <c r="E3" i="5"/>
  <c r="E4" i="5"/>
  <c r="E5" i="5"/>
  <c r="E18" i="9" s="1"/>
  <c r="E6" i="5"/>
  <c r="E20" i="9" s="1"/>
  <c r="E7" i="5"/>
  <c r="E8" i="5"/>
  <c r="E9" i="5"/>
  <c r="E10" i="5"/>
  <c r="E11" i="5"/>
  <c r="E24" i="9" s="1"/>
  <c r="E2" i="5"/>
  <c r="D3" i="5"/>
  <c r="D4" i="5"/>
  <c r="D5" i="5"/>
  <c r="D6" i="5"/>
  <c r="D7" i="5"/>
  <c r="D8" i="5"/>
  <c r="D9" i="5"/>
  <c r="D10" i="5"/>
  <c r="D11" i="5"/>
  <c r="D2" i="5"/>
  <c r="C5" i="5"/>
  <c r="C7" i="5"/>
  <c r="C9" i="5"/>
  <c r="C11" i="5"/>
  <c r="U3" i="3"/>
  <c r="T3" i="3"/>
  <c r="R26" i="3"/>
  <c r="S26" i="3" s="1"/>
  <c r="N26" i="3"/>
  <c r="O26" i="3" s="1"/>
  <c r="F26" i="3"/>
  <c r="C26" i="3"/>
  <c r="B26" i="3"/>
  <c r="R25" i="3"/>
  <c r="S25" i="3" s="1"/>
  <c r="N25" i="3"/>
  <c r="O25" i="3" s="1"/>
  <c r="H25" i="3"/>
  <c r="F25" i="3"/>
  <c r="C25" i="3"/>
  <c r="B25" i="3"/>
  <c r="R24" i="3"/>
  <c r="S24" i="3" s="1"/>
  <c r="N24" i="3"/>
  <c r="O24" i="3" s="1"/>
  <c r="H24" i="3"/>
  <c r="I6" i="5" s="1"/>
  <c r="F24" i="3"/>
  <c r="C24" i="3"/>
  <c r="B24" i="3"/>
  <c r="R23" i="3"/>
  <c r="S23" i="3" s="1"/>
  <c r="N23" i="3"/>
  <c r="O23" i="3" s="1"/>
  <c r="H23" i="3"/>
  <c r="I7" i="5" s="1"/>
  <c r="F23" i="3"/>
  <c r="C23" i="3"/>
  <c r="B23" i="3"/>
  <c r="R22" i="3"/>
  <c r="S22" i="3" s="1"/>
  <c r="N22" i="3"/>
  <c r="O22" i="3" s="1"/>
  <c r="F22" i="3"/>
  <c r="H22" i="3" s="1"/>
  <c r="I11" i="5" s="1"/>
  <c r="C22" i="3"/>
  <c r="B22" i="3"/>
  <c r="R21" i="3"/>
  <c r="S21" i="3" s="1"/>
  <c r="N21" i="3"/>
  <c r="O21" i="3" s="1"/>
  <c r="F21" i="3"/>
  <c r="H21" i="3" s="1"/>
  <c r="I3" i="5" s="1"/>
  <c r="C21" i="3"/>
  <c r="B21" i="3"/>
  <c r="R20" i="3"/>
  <c r="S20" i="3" s="1"/>
  <c r="N20" i="3"/>
  <c r="O20" i="3" s="1"/>
  <c r="F20" i="3"/>
  <c r="H20" i="3" s="1"/>
  <c r="I10" i="5" s="1"/>
  <c r="C20" i="3"/>
  <c r="B20" i="3"/>
  <c r="R19" i="3"/>
  <c r="S19" i="3" s="1"/>
  <c r="N19" i="3"/>
  <c r="O19" i="3" s="1"/>
  <c r="F19" i="3"/>
  <c r="H19" i="3" s="1"/>
  <c r="I9" i="5" s="1"/>
  <c r="C19" i="3"/>
  <c r="B19" i="3"/>
  <c r="R18" i="3"/>
  <c r="S18" i="3" s="1"/>
  <c r="N18" i="3"/>
  <c r="O18" i="3" s="1"/>
  <c r="F18" i="3"/>
  <c r="H18" i="3" s="1"/>
  <c r="I5" i="5" s="1"/>
  <c r="C18" i="3"/>
  <c r="B18" i="3"/>
  <c r="R17" i="3"/>
  <c r="S17" i="3" s="1"/>
  <c r="N17" i="3"/>
  <c r="O17" i="3" s="1"/>
  <c r="F17" i="3"/>
  <c r="I8" i="5" s="1"/>
  <c r="C17" i="3"/>
  <c r="B17" i="3"/>
  <c r="C17" i="1"/>
  <c r="N41" i="1"/>
  <c r="O41" i="1" s="1"/>
  <c r="D41" i="1"/>
  <c r="E41" i="1" s="1"/>
  <c r="N40" i="1"/>
  <c r="O40" i="1" s="1"/>
  <c r="D40" i="1"/>
  <c r="E40" i="1" s="1"/>
  <c r="N39" i="1"/>
  <c r="O39" i="1" s="1"/>
  <c r="D39" i="1"/>
  <c r="E39" i="1" s="1"/>
  <c r="N38" i="1"/>
  <c r="O38" i="1" s="1"/>
  <c r="D38" i="1"/>
  <c r="E38" i="1" s="1"/>
  <c r="N37" i="1"/>
  <c r="O37" i="1" s="1"/>
  <c r="D37" i="1"/>
  <c r="E37" i="1" s="1"/>
  <c r="N36" i="1"/>
  <c r="O36" i="1" s="1"/>
  <c r="D36" i="1"/>
  <c r="E36" i="1" s="1"/>
  <c r="N35" i="1"/>
  <c r="O35" i="1" s="1"/>
  <c r="D35" i="1"/>
  <c r="E35" i="1" s="1"/>
  <c r="N34" i="1"/>
  <c r="O34" i="1" s="1"/>
  <c r="D34" i="1"/>
  <c r="E34" i="1" s="1"/>
  <c r="N33" i="1"/>
  <c r="O33" i="1" s="1"/>
  <c r="D33" i="1"/>
  <c r="E33" i="1" s="1"/>
  <c r="N32" i="1"/>
  <c r="O32" i="1" s="1"/>
  <c r="D32" i="1"/>
  <c r="E32" i="1" s="1"/>
  <c r="R26" i="1"/>
  <c r="S26" i="1" s="1"/>
  <c r="N26" i="1"/>
  <c r="O26" i="1" s="1"/>
  <c r="F26" i="1"/>
  <c r="H26" i="1" s="1"/>
  <c r="C26" i="1"/>
  <c r="B26" i="1"/>
  <c r="R25" i="1"/>
  <c r="S25" i="1" s="1"/>
  <c r="N25" i="1"/>
  <c r="O25" i="1" s="1"/>
  <c r="F25" i="1"/>
  <c r="H25" i="1" s="1"/>
  <c r="C25" i="1"/>
  <c r="B25" i="1"/>
  <c r="R24" i="1"/>
  <c r="S24" i="1" s="1"/>
  <c r="N24" i="1"/>
  <c r="O24" i="1" s="1"/>
  <c r="F24" i="1"/>
  <c r="H24" i="1" s="1"/>
  <c r="C24" i="1"/>
  <c r="B24" i="1"/>
  <c r="R23" i="1"/>
  <c r="S23" i="1" s="1"/>
  <c r="N23" i="1"/>
  <c r="O23" i="1" s="1"/>
  <c r="F23" i="1"/>
  <c r="H23" i="1" s="1"/>
  <c r="C23" i="1"/>
  <c r="B23" i="1"/>
  <c r="R22" i="1"/>
  <c r="S22" i="1" s="1"/>
  <c r="N22" i="1"/>
  <c r="O22" i="1" s="1"/>
  <c r="F22" i="1"/>
  <c r="H22" i="1" s="1"/>
  <c r="C22" i="1"/>
  <c r="B22" i="1"/>
  <c r="R21" i="1"/>
  <c r="S21" i="1" s="1"/>
  <c r="N21" i="1"/>
  <c r="O21" i="1" s="1"/>
  <c r="F21" i="1"/>
  <c r="H21" i="1" s="1"/>
  <c r="C21" i="1"/>
  <c r="B21" i="1"/>
  <c r="R20" i="1"/>
  <c r="S20" i="1" s="1"/>
  <c r="N20" i="1"/>
  <c r="O20" i="1" s="1"/>
  <c r="F20" i="1"/>
  <c r="H20" i="1" s="1"/>
  <c r="C20" i="1"/>
  <c r="B20" i="1"/>
  <c r="R19" i="1"/>
  <c r="S19" i="1" s="1"/>
  <c r="N19" i="1"/>
  <c r="O19" i="1" s="1"/>
  <c r="F19" i="1"/>
  <c r="H19" i="1" s="1"/>
  <c r="C19" i="1"/>
  <c r="B19" i="1"/>
  <c r="R18" i="1"/>
  <c r="S18" i="1" s="1"/>
  <c r="N18" i="1"/>
  <c r="O18" i="1" s="1"/>
  <c r="F18" i="1"/>
  <c r="H18" i="1" s="1"/>
  <c r="C18" i="1"/>
  <c r="B18" i="1"/>
  <c r="R17" i="1"/>
  <c r="S17" i="1" s="1"/>
  <c r="N17" i="1"/>
  <c r="O17" i="1" s="1"/>
  <c r="B17" i="1"/>
  <c r="C18" i="2"/>
  <c r="C3" i="5" s="1"/>
  <c r="C17" i="9" s="1"/>
  <c r="C19" i="2"/>
  <c r="M8" i="7" s="1"/>
  <c r="C20" i="2"/>
  <c r="M9" i="7" s="1"/>
  <c r="C21" i="2"/>
  <c r="C6" i="5" s="1"/>
  <c r="C22" i="2"/>
  <c r="M11" i="7" s="1"/>
  <c r="C23" i="2"/>
  <c r="M12" i="7" s="1"/>
  <c r="C24" i="2"/>
  <c r="M13" i="7" s="1"/>
  <c r="C25" i="2"/>
  <c r="C10" i="5" s="1"/>
  <c r="C21" i="9" s="1"/>
  <c r="C26" i="2"/>
  <c r="M15" i="7" s="1"/>
  <c r="C17" i="2"/>
  <c r="W2" i="3"/>
  <c r="W11" i="3"/>
  <c r="W10" i="3"/>
  <c r="W9" i="3"/>
  <c r="W8" i="3"/>
  <c r="W7" i="3"/>
  <c r="W6" i="3"/>
  <c r="W5" i="3"/>
  <c r="W4" i="3"/>
  <c r="W3" i="3"/>
  <c r="G39" i="3" s="1"/>
  <c r="H39" i="3" s="1"/>
  <c r="W11" i="1"/>
  <c r="W10" i="1"/>
  <c r="W9" i="1"/>
  <c r="W8" i="1"/>
  <c r="W7" i="1"/>
  <c r="W6" i="1"/>
  <c r="W5" i="1"/>
  <c r="W4" i="1"/>
  <c r="W3" i="1"/>
  <c r="W2" i="1"/>
  <c r="W7" i="2"/>
  <c r="W2" i="2"/>
  <c r="S17" i="2"/>
  <c r="R17" i="2"/>
  <c r="O3" i="5" s="1"/>
  <c r="R26" i="2"/>
  <c r="S26" i="2" s="1"/>
  <c r="R18" i="2"/>
  <c r="S18" i="2" s="1"/>
  <c r="R19" i="2"/>
  <c r="S19" i="2" s="1"/>
  <c r="R20" i="2"/>
  <c r="S20" i="2" s="1"/>
  <c r="R21" i="2"/>
  <c r="S21" i="2" s="1"/>
  <c r="R22" i="2"/>
  <c r="S22" i="2" s="1"/>
  <c r="R23" i="2"/>
  <c r="S23" i="2" s="1"/>
  <c r="R24" i="2"/>
  <c r="S24" i="2" s="1"/>
  <c r="R25" i="2"/>
  <c r="S25" i="2" s="1"/>
  <c r="F17" i="2"/>
  <c r="H17" i="2" s="1"/>
  <c r="B18" i="2"/>
  <c r="B19" i="2"/>
  <c r="B20" i="2"/>
  <c r="B21" i="2"/>
  <c r="B22" i="2"/>
  <c r="B23" i="2"/>
  <c r="B24" i="2"/>
  <c r="B25" i="2"/>
  <c r="B26" i="2"/>
  <c r="B17" i="2"/>
  <c r="S11" i="3"/>
  <c r="R11" i="3"/>
  <c r="U11" i="3" s="1"/>
  <c r="Q11" i="3"/>
  <c r="P11" i="3"/>
  <c r="V11" i="3" s="1"/>
  <c r="S10" i="3"/>
  <c r="R10" i="3"/>
  <c r="U10" i="3" s="1"/>
  <c r="Q10" i="3"/>
  <c r="T10" i="3" s="1"/>
  <c r="V10" i="3" s="1"/>
  <c r="P10" i="3"/>
  <c r="R9" i="3"/>
  <c r="Q9" i="3"/>
  <c r="T9" i="3" s="1"/>
  <c r="P9" i="3"/>
  <c r="S8" i="3"/>
  <c r="R8" i="3"/>
  <c r="Q8" i="3"/>
  <c r="P8" i="3"/>
  <c r="S7" i="3"/>
  <c r="R7" i="3"/>
  <c r="Q7" i="3"/>
  <c r="P7" i="3"/>
  <c r="S6" i="3"/>
  <c r="R6" i="3"/>
  <c r="U6" i="3" s="1"/>
  <c r="Q6" i="3"/>
  <c r="P6" i="3"/>
  <c r="S5" i="3"/>
  <c r="R5" i="3"/>
  <c r="Q5" i="3"/>
  <c r="T5" i="3" s="1"/>
  <c r="P5" i="3"/>
  <c r="S4" i="3"/>
  <c r="R4" i="3"/>
  <c r="Q4" i="3"/>
  <c r="T11" i="3" s="1"/>
  <c r="P4" i="3"/>
  <c r="S3" i="3"/>
  <c r="R3" i="3"/>
  <c r="Q3" i="3"/>
  <c r="T6" i="3" s="1"/>
  <c r="V6" i="3" s="1"/>
  <c r="P3" i="3"/>
  <c r="S2" i="3"/>
  <c r="R2" i="3"/>
  <c r="U2" i="3" s="1"/>
  <c r="Q2" i="3"/>
  <c r="P2" i="3"/>
  <c r="U5" i="1"/>
  <c r="S2" i="1"/>
  <c r="Q2" i="1"/>
  <c r="P2" i="1"/>
  <c r="S11" i="1"/>
  <c r="R11" i="1"/>
  <c r="Q11" i="1"/>
  <c r="T11" i="1" s="1"/>
  <c r="P11" i="1"/>
  <c r="S10" i="1"/>
  <c r="R10" i="1"/>
  <c r="U10" i="1" s="1"/>
  <c r="Q10" i="1"/>
  <c r="P10" i="1"/>
  <c r="S9" i="1"/>
  <c r="R9" i="1"/>
  <c r="Q9" i="1"/>
  <c r="T9" i="1" s="1"/>
  <c r="P9" i="1"/>
  <c r="S8" i="1"/>
  <c r="R8" i="1"/>
  <c r="U8" i="1" s="1"/>
  <c r="Q8" i="1"/>
  <c r="P8" i="1"/>
  <c r="S7" i="1"/>
  <c r="R7" i="1"/>
  <c r="U7" i="1" s="1"/>
  <c r="Q7" i="1"/>
  <c r="T7" i="1" s="1"/>
  <c r="V7" i="1" s="1"/>
  <c r="P7" i="1"/>
  <c r="S6" i="1"/>
  <c r="R6" i="1"/>
  <c r="Q6" i="1"/>
  <c r="T6" i="1" s="1"/>
  <c r="V6" i="1" s="1"/>
  <c r="P6" i="1"/>
  <c r="S5" i="1"/>
  <c r="R5" i="1"/>
  <c r="Q5" i="1"/>
  <c r="P5" i="1"/>
  <c r="S4" i="1"/>
  <c r="R4" i="1"/>
  <c r="U4" i="1" s="1"/>
  <c r="Q4" i="1"/>
  <c r="P4" i="1"/>
  <c r="U3" i="1"/>
  <c r="S3" i="1"/>
  <c r="R3" i="1"/>
  <c r="U6" i="1" s="1"/>
  <c r="Q3" i="1"/>
  <c r="T3" i="1" s="1"/>
  <c r="V3" i="1" s="1"/>
  <c r="P3" i="1"/>
  <c r="T2" i="1"/>
  <c r="R2" i="1"/>
  <c r="U11" i="1" s="1"/>
  <c r="T10" i="1"/>
  <c r="V10" i="1" s="1"/>
  <c r="R3" i="2"/>
  <c r="R4" i="2"/>
  <c r="U8" i="2" s="1"/>
  <c r="R5" i="2"/>
  <c r="R6" i="2"/>
  <c r="R7" i="2"/>
  <c r="R8" i="2"/>
  <c r="R9" i="2"/>
  <c r="R10" i="2"/>
  <c r="R11" i="2"/>
  <c r="Q3" i="2"/>
  <c r="T3" i="2" s="1"/>
  <c r="W3" i="2" s="1"/>
  <c r="Q4" i="2"/>
  <c r="Q5" i="2"/>
  <c r="T5" i="2" s="1"/>
  <c r="W5" i="2" s="1"/>
  <c r="Q6" i="2"/>
  <c r="Q7" i="2"/>
  <c r="T7" i="2" s="1"/>
  <c r="Q8" i="2"/>
  <c r="Q9" i="2"/>
  <c r="T9" i="2" s="1"/>
  <c r="W9" i="2" s="1"/>
  <c r="Q10" i="2"/>
  <c r="Q11" i="2"/>
  <c r="T11" i="2" s="1"/>
  <c r="W11" i="2" s="1"/>
  <c r="R2" i="2"/>
  <c r="U6" i="2" s="1"/>
  <c r="T6" i="2"/>
  <c r="W6" i="2" s="1"/>
  <c r="P2" i="2"/>
  <c r="H11" i="2"/>
  <c r="H2" i="2"/>
  <c r="F18" i="2" s="1"/>
  <c r="H10" i="2"/>
  <c r="S10" i="2" s="1"/>
  <c r="H9" i="2"/>
  <c r="H8" i="2"/>
  <c r="H7" i="2"/>
  <c r="H6" i="2"/>
  <c r="H5" i="2"/>
  <c r="H4" i="2"/>
  <c r="H3" i="2"/>
  <c r="O11" i="2"/>
  <c r="O10" i="2"/>
  <c r="O9" i="2"/>
  <c r="O8" i="2"/>
  <c r="O7" i="2"/>
  <c r="O6" i="2"/>
  <c r="O5" i="2"/>
  <c r="O4" i="2"/>
  <c r="O3" i="2"/>
  <c r="O2" i="2"/>
  <c r="O8" i="1"/>
  <c r="O11" i="1"/>
  <c r="O10" i="1"/>
  <c r="O9" i="1"/>
  <c r="O7" i="1"/>
  <c r="O6" i="1"/>
  <c r="O5" i="1"/>
  <c r="O4" i="1"/>
  <c r="O3" i="1"/>
  <c r="O2" i="1"/>
  <c r="H11" i="1"/>
  <c r="H10" i="1"/>
  <c r="H9" i="1"/>
  <c r="H8" i="1"/>
  <c r="H7" i="1"/>
  <c r="H6" i="1"/>
  <c r="H5" i="1"/>
  <c r="H4" i="1"/>
  <c r="H3" i="1"/>
  <c r="H2" i="1"/>
  <c r="O3" i="3"/>
  <c r="O4" i="3"/>
  <c r="O5" i="3"/>
  <c r="O6" i="3"/>
  <c r="O7" i="3"/>
  <c r="O8" i="3"/>
  <c r="O9" i="3"/>
  <c r="O10" i="3"/>
  <c r="O11" i="3"/>
  <c r="O2" i="3"/>
  <c r="H2" i="3"/>
  <c r="H3" i="3"/>
  <c r="H4" i="3"/>
  <c r="H5" i="3"/>
  <c r="H6" i="3"/>
  <c r="H7" i="3"/>
  <c r="H8" i="3"/>
  <c r="H9" i="3"/>
  <c r="H10" i="3"/>
  <c r="H11" i="3"/>
  <c r="M7" i="7" l="1"/>
  <c r="C8" i="5"/>
  <c r="C19" i="9" s="1"/>
  <c r="C4" i="5"/>
  <c r="M14" i="7"/>
  <c r="M10" i="7"/>
  <c r="E4" i="9"/>
  <c r="E5" i="9"/>
  <c r="E10" i="9"/>
  <c r="O10" i="5"/>
  <c r="O6" i="5"/>
  <c r="O9" i="5"/>
  <c r="O5" i="5"/>
  <c r="O2" i="5"/>
  <c r="O8" i="5"/>
  <c r="O4" i="5"/>
  <c r="O11" i="5"/>
  <c r="O7" i="5"/>
  <c r="C23" i="9"/>
  <c r="E15" i="9"/>
  <c r="E23" i="9"/>
  <c r="E21" i="9"/>
  <c r="E19" i="9"/>
  <c r="E17" i="9"/>
  <c r="D6" i="9"/>
  <c r="E7" i="9"/>
  <c r="C22" i="9"/>
  <c r="C18" i="9"/>
  <c r="E16" i="9"/>
  <c r="D7" i="9"/>
  <c r="D10" i="9"/>
  <c r="C24" i="9"/>
  <c r="C20" i="9"/>
  <c r="C16" i="9"/>
  <c r="E8" i="9"/>
  <c r="E12" i="9"/>
  <c r="E11" i="9"/>
  <c r="D4" i="9"/>
  <c r="D5" i="9"/>
  <c r="D13" i="9"/>
  <c r="D9" i="9"/>
  <c r="R4" i="5"/>
  <c r="F3" i="5"/>
  <c r="C16" i="5" s="1"/>
  <c r="AG8" i="7" s="1"/>
  <c r="R11" i="5"/>
  <c r="R7" i="5"/>
  <c r="R3" i="5"/>
  <c r="R9" i="5"/>
  <c r="R5" i="5"/>
  <c r="F11" i="5"/>
  <c r="C23" i="5" s="1"/>
  <c r="AG15" i="7" s="1"/>
  <c r="F7" i="5"/>
  <c r="C21" i="5" s="1"/>
  <c r="AG13" i="7" s="1"/>
  <c r="F10" i="5"/>
  <c r="C20" i="5" s="1"/>
  <c r="AG12" i="7" s="1"/>
  <c r="F6" i="5"/>
  <c r="C19" i="5" s="1"/>
  <c r="AG11" i="7" s="1"/>
  <c r="R2" i="5"/>
  <c r="R8" i="5"/>
  <c r="R10" i="5"/>
  <c r="R6" i="5"/>
  <c r="J2" i="5"/>
  <c r="F9" i="5"/>
  <c r="C22" i="5" s="1"/>
  <c r="AG14" i="7" s="1"/>
  <c r="F5" i="5"/>
  <c r="C17" i="5" s="1"/>
  <c r="AG9" i="7" s="1"/>
  <c r="F8" i="5"/>
  <c r="C18" i="5" s="1"/>
  <c r="AG10" i="7" s="1"/>
  <c r="F4" i="5"/>
  <c r="C15" i="5" s="1"/>
  <c r="AG7" i="7" s="1"/>
  <c r="F2" i="5"/>
  <c r="C14" i="5" s="1"/>
  <c r="AG6" i="7" s="1"/>
  <c r="G33" i="3"/>
  <c r="H33" i="3" s="1"/>
  <c r="G37" i="3"/>
  <c r="H37" i="3" s="1"/>
  <c r="G34" i="3"/>
  <c r="H34" i="3" s="1"/>
  <c r="G38" i="3"/>
  <c r="H38" i="3" s="1"/>
  <c r="G41" i="3"/>
  <c r="H41" i="3" s="1"/>
  <c r="G32" i="3"/>
  <c r="G36" i="3"/>
  <c r="H36" i="3" s="1"/>
  <c r="G40" i="3"/>
  <c r="H40" i="3" s="1"/>
  <c r="G35" i="3"/>
  <c r="H35" i="3" s="1"/>
  <c r="V5" i="2"/>
  <c r="S6" i="2"/>
  <c r="V6" i="2" s="1"/>
  <c r="S3" i="2"/>
  <c r="H18" i="2" s="1"/>
  <c r="G3" i="5" s="1"/>
  <c r="J3" i="5" s="1"/>
  <c r="S7" i="2"/>
  <c r="V7" i="2" s="1"/>
  <c r="S2" i="2"/>
  <c r="T8" i="2"/>
  <c r="W8" i="2" s="1"/>
  <c r="T4" i="2"/>
  <c r="U10" i="2"/>
  <c r="S4" i="2"/>
  <c r="S8" i="2"/>
  <c r="S11" i="2"/>
  <c r="V11" i="2" s="1"/>
  <c r="U9" i="2"/>
  <c r="U5" i="2"/>
  <c r="F25" i="2"/>
  <c r="H25" i="2" s="1"/>
  <c r="G10" i="5" s="1"/>
  <c r="J10" i="5" s="1"/>
  <c r="F21" i="2"/>
  <c r="S5" i="2"/>
  <c r="S9" i="2"/>
  <c r="V9" i="2" s="1"/>
  <c r="T10" i="2"/>
  <c r="U4" i="2"/>
  <c r="F24" i="2"/>
  <c r="H24" i="2" s="1"/>
  <c r="G9" i="5" s="1"/>
  <c r="J9" i="5" s="1"/>
  <c r="F20" i="2"/>
  <c r="U11" i="2"/>
  <c r="U7" i="2"/>
  <c r="U3" i="2"/>
  <c r="V3" i="2" s="1"/>
  <c r="F23" i="2"/>
  <c r="H23" i="2" s="1"/>
  <c r="G5" i="5" s="1"/>
  <c r="J5" i="5" s="1"/>
  <c r="F19" i="2"/>
  <c r="H19" i="2" s="1"/>
  <c r="G4" i="5" s="1"/>
  <c r="J4" i="5" s="1"/>
  <c r="F26" i="2"/>
  <c r="H26" i="2" s="1"/>
  <c r="G11" i="5" s="1"/>
  <c r="J11" i="5" s="1"/>
  <c r="F22" i="2"/>
  <c r="H22" i="2" s="1"/>
  <c r="G7" i="5" s="1"/>
  <c r="J7" i="5" s="1"/>
  <c r="V7" i="3"/>
  <c r="V9" i="3"/>
  <c r="V3" i="3"/>
  <c r="U4" i="3"/>
  <c r="T7" i="3"/>
  <c r="U8" i="3"/>
  <c r="T2" i="3"/>
  <c r="V2" i="3" s="1"/>
  <c r="U7" i="3"/>
  <c r="T4" i="3"/>
  <c r="V4" i="3" s="1"/>
  <c r="U5" i="3"/>
  <c r="V5" i="3" s="1"/>
  <c r="T8" i="3"/>
  <c r="V8" i="3" s="1"/>
  <c r="U9" i="3"/>
  <c r="V11" i="1"/>
  <c r="V2" i="1"/>
  <c r="T4" i="1"/>
  <c r="V4" i="1" s="1"/>
  <c r="T8" i="1"/>
  <c r="V8" i="1" s="1"/>
  <c r="U9" i="1"/>
  <c r="V9" i="1" s="1"/>
  <c r="U2" i="1"/>
  <c r="T5" i="1"/>
  <c r="V5" i="1" s="1"/>
  <c r="V8" i="2" l="1"/>
  <c r="W4" i="2"/>
  <c r="N20" i="2"/>
  <c r="N24" i="2"/>
  <c r="N21" i="2"/>
  <c r="N25" i="2"/>
  <c r="N23" i="2"/>
  <c r="V10" i="2"/>
  <c r="W10" i="2"/>
  <c r="N22" i="2"/>
  <c r="N17" i="2"/>
  <c r="V4" i="2"/>
  <c r="D39" i="2" s="1"/>
  <c r="N26" i="2"/>
  <c r="N18" i="2"/>
  <c r="N19" i="2"/>
  <c r="D37" i="2"/>
  <c r="O24" i="7" s="1"/>
  <c r="D36" i="2"/>
  <c r="AA5" i="5"/>
  <c r="AA9" i="5"/>
  <c r="AA4" i="5"/>
  <c r="AA2" i="5"/>
  <c r="AA6" i="5"/>
  <c r="AA10" i="5"/>
  <c r="AA3" i="5"/>
  <c r="AA7" i="5"/>
  <c r="AA11" i="5"/>
  <c r="AA8" i="5"/>
  <c r="B59" i="5"/>
  <c r="B63" i="5"/>
  <c r="B57" i="5"/>
  <c r="B60" i="5"/>
  <c r="B64" i="5"/>
  <c r="B58" i="5"/>
  <c r="B62" i="5"/>
  <c r="B66" i="5"/>
  <c r="B61" i="5"/>
  <c r="B65" i="5"/>
  <c r="D38" i="3"/>
  <c r="E38" i="3" s="1"/>
  <c r="D34" i="3"/>
  <c r="E34" i="3" s="1"/>
  <c r="D32" i="3"/>
  <c r="E32" i="3" s="1"/>
  <c r="D39" i="3"/>
  <c r="E39" i="3" s="1"/>
  <c r="D35" i="3"/>
  <c r="E35" i="3" s="1"/>
  <c r="D40" i="3"/>
  <c r="E40" i="3" s="1"/>
  <c r="D41" i="3"/>
  <c r="E41" i="3" s="1"/>
  <c r="D37" i="3"/>
  <c r="E37" i="3" s="1"/>
  <c r="D33" i="3"/>
  <c r="E33" i="3" s="1"/>
  <c r="D36" i="3"/>
  <c r="E36" i="3" s="1"/>
  <c r="H21" i="2"/>
  <c r="G8" i="5" s="1"/>
  <c r="J8" i="5" s="1"/>
  <c r="H20" i="2"/>
  <c r="G6" i="5" s="1"/>
  <c r="J6" i="5" s="1"/>
  <c r="B38" i="5" s="1"/>
  <c r="AI15" i="7" s="1"/>
  <c r="D35" i="2" l="1"/>
  <c r="O22" i="7" s="1"/>
  <c r="D41" i="2"/>
  <c r="D33" i="2"/>
  <c r="O20" i="7" s="1"/>
  <c r="O26" i="7"/>
  <c r="E39" i="2"/>
  <c r="P26" i="7" s="1"/>
  <c r="O26" i="2"/>
  <c r="S15" i="7" s="1"/>
  <c r="R15" i="7"/>
  <c r="O21" i="2"/>
  <c r="S10" i="7" s="1"/>
  <c r="R10" i="7"/>
  <c r="E35" i="2"/>
  <c r="P22" i="7" s="1"/>
  <c r="O19" i="2"/>
  <c r="S8" i="7" s="1"/>
  <c r="R8" i="7"/>
  <c r="O24" i="2"/>
  <c r="S13" i="7" s="1"/>
  <c r="R13" i="7"/>
  <c r="E37" i="2"/>
  <c r="D32" i="2"/>
  <c r="E32" i="2" s="1"/>
  <c r="D34" i="2"/>
  <c r="D38" i="2"/>
  <c r="O17" i="2"/>
  <c r="S6" i="7" s="1"/>
  <c r="R6" i="7"/>
  <c r="K7" i="5"/>
  <c r="N7" i="5" s="1"/>
  <c r="K3" i="5"/>
  <c r="N3" i="5" s="1"/>
  <c r="K8" i="5"/>
  <c r="N8" i="5" s="1"/>
  <c r="O23" i="2"/>
  <c r="S12" i="7" s="1"/>
  <c r="R12" i="7"/>
  <c r="O20" i="2"/>
  <c r="S9" i="7" s="1"/>
  <c r="R9" i="7"/>
  <c r="E33" i="2"/>
  <c r="P20" i="7" s="1"/>
  <c r="D40" i="2"/>
  <c r="O18" i="2"/>
  <c r="S7" i="7" s="1"/>
  <c r="R7" i="7"/>
  <c r="O22" i="2"/>
  <c r="S11" i="7" s="1"/>
  <c r="R11" i="7"/>
  <c r="O25" i="2"/>
  <c r="S14" i="7" s="1"/>
  <c r="R14" i="7"/>
  <c r="N39" i="2"/>
  <c r="N34" i="2"/>
  <c r="N37" i="2"/>
  <c r="N40" i="2"/>
  <c r="N32" i="2"/>
  <c r="N33" i="2"/>
  <c r="N36" i="2"/>
  <c r="N35" i="2"/>
  <c r="N38" i="2"/>
  <c r="N41" i="2"/>
  <c r="P24" i="7"/>
  <c r="E40" i="2"/>
  <c r="P27" i="7" s="1"/>
  <c r="O27" i="7"/>
  <c r="E36" i="2"/>
  <c r="P23" i="7" s="1"/>
  <c r="O23" i="7"/>
  <c r="V19" i="5"/>
  <c r="V23" i="5"/>
  <c r="V20" i="5"/>
  <c r="V24" i="5"/>
  <c r="V17" i="5"/>
  <c r="V21" i="5"/>
  <c r="V25" i="5"/>
  <c r="V18" i="5"/>
  <c r="V22" i="5"/>
  <c r="V16" i="5"/>
  <c r="C38" i="5"/>
  <c r="AJ15" i="7" s="1"/>
  <c r="B36" i="5"/>
  <c r="AI13" i="7" s="1"/>
  <c r="B29" i="5"/>
  <c r="AI6" i="7" s="1"/>
  <c r="B34" i="5"/>
  <c r="AI11" i="7" s="1"/>
  <c r="C66" i="5"/>
  <c r="C60" i="5"/>
  <c r="B32" i="5"/>
  <c r="AI9" i="7" s="1"/>
  <c r="B35" i="5"/>
  <c r="AI12" i="7" s="1"/>
  <c r="B30" i="5"/>
  <c r="AI7" i="7" s="1"/>
  <c r="C62" i="5"/>
  <c r="C57" i="5"/>
  <c r="B37" i="5"/>
  <c r="AI14" i="7" s="1"/>
  <c r="B31" i="5"/>
  <c r="AI8" i="7" s="1"/>
  <c r="C65" i="5"/>
  <c r="C58" i="5"/>
  <c r="C63" i="5"/>
  <c r="B33" i="5"/>
  <c r="AI10" i="7" s="1"/>
  <c r="C61" i="5"/>
  <c r="C64" i="5"/>
  <c r="C59" i="5"/>
  <c r="O19" i="7" l="1"/>
  <c r="S6" i="5"/>
  <c r="K2" i="5"/>
  <c r="N2" i="5" s="1"/>
  <c r="O28" i="7"/>
  <c r="E41" i="2"/>
  <c r="K4" i="5"/>
  <c r="N4" i="5" s="1"/>
  <c r="O35" i="2"/>
  <c r="S22" i="7" s="1"/>
  <c r="R22" i="7"/>
  <c r="O40" i="2"/>
  <c r="S27" i="7" s="1"/>
  <c r="R27" i="7"/>
  <c r="O36" i="2"/>
  <c r="S23" i="7" s="1"/>
  <c r="R23" i="7"/>
  <c r="O37" i="2"/>
  <c r="S24" i="7" s="1"/>
  <c r="R24" i="7"/>
  <c r="K10" i="5"/>
  <c r="N10" i="5" s="1"/>
  <c r="O25" i="7"/>
  <c r="E38" i="2"/>
  <c r="O41" i="2"/>
  <c r="S28" i="7" s="1"/>
  <c r="R28" i="7"/>
  <c r="O33" i="2"/>
  <c r="S20" i="7" s="1"/>
  <c r="R20" i="7"/>
  <c r="O34" i="2"/>
  <c r="R21" i="7"/>
  <c r="K9" i="5"/>
  <c r="N9" i="5" s="1"/>
  <c r="K11" i="5"/>
  <c r="N11" i="5" s="1"/>
  <c r="O21" i="7"/>
  <c r="E34" i="2"/>
  <c r="S4" i="5" s="1"/>
  <c r="O38" i="2"/>
  <c r="S25" i="7" s="1"/>
  <c r="R25" i="7"/>
  <c r="R19" i="7"/>
  <c r="O32" i="2"/>
  <c r="Y8" i="5"/>
  <c r="AB8" i="5" s="1"/>
  <c r="C77" i="2"/>
  <c r="Y7" i="5"/>
  <c r="AB7" i="5" s="1"/>
  <c r="O39" i="2"/>
  <c r="S26" i="7" s="1"/>
  <c r="R26" i="7"/>
  <c r="K5" i="5"/>
  <c r="N5" i="5" s="1"/>
  <c r="B47" i="5" s="1"/>
  <c r="K6" i="5"/>
  <c r="N6" i="5" s="1"/>
  <c r="S2" i="5"/>
  <c r="S9" i="5"/>
  <c r="C80" i="2"/>
  <c r="S10" i="5"/>
  <c r="P19" i="7"/>
  <c r="S3" i="5"/>
  <c r="S7" i="5"/>
  <c r="W7" i="5" s="1"/>
  <c r="T18" i="5"/>
  <c r="T22" i="5"/>
  <c r="T16" i="5"/>
  <c r="T19" i="5"/>
  <c r="T23" i="5"/>
  <c r="T20" i="5"/>
  <c r="T24" i="5"/>
  <c r="T17" i="5"/>
  <c r="T21" i="5"/>
  <c r="T25" i="5"/>
  <c r="V6" i="5"/>
  <c r="C30" i="5"/>
  <c r="AJ7" i="7" s="1"/>
  <c r="C29" i="5"/>
  <c r="AJ6" i="7" s="1"/>
  <c r="C35" i="5"/>
  <c r="AJ12" i="7" s="1"/>
  <c r="C36" i="5"/>
  <c r="AJ13" i="7" s="1"/>
  <c r="C31" i="5"/>
  <c r="AJ8" i="7" s="1"/>
  <c r="C32" i="5"/>
  <c r="AJ9" i="7" s="1"/>
  <c r="C33" i="5"/>
  <c r="AJ10" i="7" s="1"/>
  <c r="C37" i="5"/>
  <c r="AJ14" i="7" s="1"/>
  <c r="C34" i="5"/>
  <c r="AJ11" i="7" s="1"/>
  <c r="C7" i="9" l="1"/>
  <c r="W4" i="5"/>
  <c r="V4" i="5"/>
  <c r="C79" i="2"/>
  <c r="C82" i="2"/>
  <c r="C11" i="9"/>
  <c r="W6" i="5"/>
  <c r="Y6" i="5"/>
  <c r="AB6" i="5" s="1"/>
  <c r="P28" i="7"/>
  <c r="S11" i="5"/>
  <c r="B48" i="5"/>
  <c r="AL11" i="7" s="1"/>
  <c r="B45" i="5"/>
  <c r="AL8" i="7" s="1"/>
  <c r="AL10" i="7"/>
  <c r="C47" i="5"/>
  <c r="AM10" i="7" s="1"/>
  <c r="C6" i="9"/>
  <c r="V2" i="5"/>
  <c r="W2" i="5"/>
  <c r="S21" i="7"/>
  <c r="Y3" i="5"/>
  <c r="AB3" i="5" s="1"/>
  <c r="B50" i="5"/>
  <c r="B51" i="5"/>
  <c r="Y2" i="5"/>
  <c r="AB2" i="5" s="1"/>
  <c r="C76" i="2"/>
  <c r="S19" i="7"/>
  <c r="P21" i="7"/>
  <c r="S8" i="5"/>
  <c r="P25" i="7"/>
  <c r="S5" i="5"/>
  <c r="B44" i="5"/>
  <c r="B49" i="5"/>
  <c r="Y10" i="5"/>
  <c r="AB10" i="5" s="1"/>
  <c r="Y11" i="5"/>
  <c r="AB11" i="5" s="1"/>
  <c r="C78" i="2"/>
  <c r="C84" i="2"/>
  <c r="C83" i="2"/>
  <c r="B43" i="5"/>
  <c r="B52" i="5"/>
  <c r="C85" i="2"/>
  <c r="C12" i="9"/>
  <c r="V9" i="5"/>
  <c r="W9" i="5"/>
  <c r="Y5" i="5"/>
  <c r="AB5" i="5" s="1"/>
  <c r="Y4" i="5"/>
  <c r="AB4" i="5" s="1"/>
  <c r="Y9" i="5"/>
  <c r="AB9" i="5" s="1"/>
  <c r="B46" i="5"/>
  <c r="C81" i="2"/>
  <c r="C9" i="9"/>
  <c r="C4" i="9"/>
  <c r="V3" i="5"/>
  <c r="W3" i="5"/>
  <c r="V7" i="5"/>
  <c r="C10" i="9"/>
  <c r="W10" i="5"/>
  <c r="V10" i="5"/>
  <c r="C45" i="5" l="1"/>
  <c r="AM8" i="7" s="1"/>
  <c r="C48" i="5"/>
  <c r="AM11" i="7" s="1"/>
  <c r="C13" i="9"/>
  <c r="V11" i="5"/>
  <c r="W11" i="5"/>
  <c r="C8" i="9"/>
  <c r="V5" i="5"/>
  <c r="W5" i="5"/>
  <c r="X2" i="5" s="1"/>
  <c r="AL12" i="7"/>
  <c r="C49" i="5"/>
  <c r="AM12" i="7" s="1"/>
  <c r="C5" i="9"/>
  <c r="V8" i="5"/>
  <c r="B89" i="5" s="1"/>
  <c r="W8" i="5"/>
  <c r="B77" i="5"/>
  <c r="B78" i="5"/>
  <c r="B76" i="5"/>
  <c r="B72" i="5"/>
  <c r="B71" i="5"/>
  <c r="B73" i="5"/>
  <c r="B79" i="5"/>
  <c r="B75" i="5"/>
  <c r="B80" i="5"/>
  <c r="AL6" i="7"/>
  <c r="U21" i="5"/>
  <c r="U16" i="5"/>
  <c r="U20" i="5"/>
  <c r="U25" i="5"/>
  <c r="U19" i="5"/>
  <c r="U24" i="5"/>
  <c r="U18" i="5"/>
  <c r="U23" i="5"/>
  <c r="U17" i="5"/>
  <c r="U22" i="5"/>
  <c r="C43" i="5"/>
  <c r="AM6" i="7" s="1"/>
  <c r="AL13" i="7"/>
  <c r="C50" i="5"/>
  <c r="AM13" i="7" s="1"/>
  <c r="B74" i="5"/>
  <c r="AL9" i="7"/>
  <c r="C46" i="5"/>
  <c r="AM9" i="7" s="1"/>
  <c r="AL15" i="7"/>
  <c r="C52" i="5"/>
  <c r="AM15" i="7" s="1"/>
  <c r="AL7" i="7"/>
  <c r="C44" i="5"/>
  <c r="AM7" i="7" s="1"/>
  <c r="AL14" i="7"/>
  <c r="C51" i="5"/>
  <c r="AM14" i="7" s="1"/>
  <c r="B86" i="5"/>
  <c r="B87" i="5"/>
  <c r="B93" i="5" l="1"/>
  <c r="B92" i="5"/>
  <c r="B88" i="5"/>
  <c r="C88" i="5" s="1"/>
  <c r="AJ23" i="7" s="1"/>
  <c r="X7" i="5"/>
  <c r="AL19" i="7"/>
  <c r="W21" i="5"/>
  <c r="W16" i="5"/>
  <c r="W25" i="5"/>
  <c r="W24" i="5"/>
  <c r="W23" i="5"/>
  <c r="W17" i="5"/>
  <c r="C71" i="5"/>
  <c r="AM19" i="7" s="1"/>
  <c r="W20" i="5"/>
  <c r="W19" i="5"/>
  <c r="W18" i="5"/>
  <c r="W22" i="5"/>
  <c r="X6" i="5"/>
  <c r="AL23" i="7"/>
  <c r="C75" i="5"/>
  <c r="AM23" i="7" s="1"/>
  <c r="X8" i="5"/>
  <c r="B85" i="5"/>
  <c r="B84" i="5"/>
  <c r="X17" i="5" s="1"/>
  <c r="AL27" i="7"/>
  <c r="C79" i="5"/>
  <c r="AM27" i="7" s="1"/>
  <c r="AL24" i="7"/>
  <c r="C76" i="5"/>
  <c r="AM24" i="7" s="1"/>
  <c r="AL28" i="7"/>
  <c r="C80" i="5"/>
  <c r="AM28" i="7" s="1"/>
  <c r="AL25" i="7"/>
  <c r="C77" i="5"/>
  <c r="AM25" i="7" s="1"/>
  <c r="X5" i="5"/>
  <c r="X11" i="5"/>
  <c r="X4" i="5"/>
  <c r="X3" i="5"/>
  <c r="B104" i="5" s="1"/>
  <c r="C104" i="5" s="1"/>
  <c r="AL22" i="7"/>
  <c r="C74" i="5"/>
  <c r="AM22" i="7" s="1"/>
  <c r="AL20" i="7"/>
  <c r="C72" i="5"/>
  <c r="AM20" i="7" s="1"/>
  <c r="X9" i="5"/>
  <c r="B91" i="5"/>
  <c r="X10" i="5"/>
  <c r="AL21" i="7"/>
  <c r="C73" i="5"/>
  <c r="AM21" i="7" s="1"/>
  <c r="AL26" i="7"/>
  <c r="C78" i="5"/>
  <c r="AM26" i="7" s="1"/>
  <c r="B90" i="5"/>
  <c r="C89" i="5"/>
  <c r="AJ24" i="7" s="1"/>
  <c r="AI24" i="7"/>
  <c r="C87" i="5"/>
  <c r="AJ22" i="7" s="1"/>
  <c r="AI22" i="7"/>
  <c r="C92" i="5"/>
  <c r="AJ27" i="7" s="1"/>
  <c r="AI27" i="7"/>
  <c r="C91" i="5"/>
  <c r="AJ26" i="7" s="1"/>
  <c r="AI26" i="7"/>
  <c r="C84" i="5"/>
  <c r="AJ19" i="7" s="1"/>
  <c r="C93" i="5"/>
  <c r="AJ28" i="7" s="1"/>
  <c r="AI28" i="7"/>
  <c r="C86" i="5"/>
  <c r="AJ21" i="7" s="1"/>
  <c r="AI21" i="7"/>
  <c r="C85" i="5"/>
  <c r="AJ20" i="7" s="1"/>
  <c r="AI20" i="7"/>
  <c r="B102" i="5" l="1"/>
  <c r="C102" i="5" s="1"/>
  <c r="AI23" i="7"/>
  <c r="X16" i="5"/>
  <c r="X25" i="5"/>
  <c r="AI25" i="7"/>
  <c r="C90" i="5"/>
  <c r="AJ25" i="7" s="1"/>
  <c r="B106" i="5"/>
  <c r="C106" i="5" s="1"/>
  <c r="X20" i="5"/>
  <c r="X23" i="5"/>
  <c r="B103" i="5"/>
  <c r="C103" i="5" s="1"/>
  <c r="X22" i="5"/>
  <c r="B98" i="5"/>
  <c r="C98" i="5" s="1"/>
  <c r="B100" i="5"/>
  <c r="C100" i="5" s="1"/>
  <c r="X18" i="5"/>
  <c r="X21" i="5"/>
  <c r="B101" i="5"/>
  <c r="C101" i="5" s="1"/>
  <c r="X24" i="5"/>
  <c r="B97" i="5"/>
  <c r="C97" i="5" s="1"/>
  <c r="X19" i="5"/>
  <c r="B105" i="5"/>
  <c r="C105" i="5" s="1"/>
  <c r="AI19" i="7"/>
  <c r="B99" i="5"/>
  <c r="C99" i="5" s="1"/>
  <c r="Y22" i="5"/>
  <c r="Y16" i="5" l="1"/>
  <c r="Y17" i="5"/>
  <c r="Y24" i="5"/>
  <c r="Y21" i="5"/>
  <c r="Y19" i="5"/>
  <c r="Y18" i="5"/>
  <c r="Y25" i="5"/>
  <c r="Y20" i="5"/>
  <c r="Y23" i="5"/>
</calcChain>
</file>

<file path=xl/sharedStrings.xml><?xml version="1.0" encoding="utf-8"?>
<sst xmlns="http://schemas.openxmlformats.org/spreadsheetml/2006/main" count="372" uniqueCount="146">
  <si>
    <t>Rank</t>
  </si>
  <si>
    <t>Team Name</t>
  </si>
  <si>
    <t>Matches Played</t>
  </si>
  <si>
    <t>Wins</t>
  </si>
  <si>
    <t>Losses</t>
  </si>
  <si>
    <t>No Result</t>
  </si>
  <si>
    <t>Net Run Rate (NRR)</t>
  </si>
  <si>
    <t>Total Runs Scored</t>
  </si>
  <si>
    <t>Total Runs Conceded</t>
  </si>
  <si>
    <t>Points</t>
  </si>
  <si>
    <t>GT</t>
  </si>
  <si>
    <t>2450/268.1</t>
  </si>
  <si>
    <t>2326/279.2</t>
  </si>
  <si>
    <t>CSK</t>
  </si>
  <si>
    <t>2369/254.3</t>
  </si>
  <si>
    <t>2232/257.5</t>
  </si>
  <si>
    <t>LSG</t>
  </si>
  <si>
    <t>2253/255.2</t>
  </si>
  <si>
    <t>2216/259.3</t>
  </si>
  <si>
    <t>MI</t>
  </si>
  <si>
    <t>2592/270.3</t>
  </si>
  <si>
    <t>2620/272.1</t>
  </si>
  <si>
    <t>RR</t>
  </si>
  <si>
    <t>2419/272.1</t>
  </si>
  <si>
    <t>2389/273.2</t>
  </si>
  <si>
    <t>RCB</t>
  </si>
  <si>
    <t>2502/275.4</t>
  </si>
  <si>
    <t>2435/272.2</t>
  </si>
  <si>
    <t>KKR</t>
  </si>
  <si>
    <t>2463/274.3</t>
  </si>
  <si>
    <t>2432/264.0</t>
  </si>
  <si>
    <t>PBKS</t>
  </si>
  <si>
    <t>2518/275.3</t>
  </si>
  <si>
    <t>2564/271.3</t>
  </si>
  <si>
    <t>DC</t>
  </si>
  <si>
    <t>2182/276.0</t>
  </si>
  <si>
    <t>2424/278.1</t>
  </si>
  <si>
    <t>SRH</t>
  </si>
  <si>
    <t>2376/277.1</t>
  </si>
  <si>
    <t>2486/271.2</t>
  </si>
  <si>
    <t>2339/278.1</t>
  </si>
  <si>
    <t>2216/273.5</t>
  </si>
  <si>
    <t>2464/279.2</t>
  </si>
  <si>
    <t>2351/275.5</t>
  </si>
  <si>
    <t>2355/279.1</t>
  </si>
  <si>
    <t>2289/279.4</t>
  </si>
  <si>
    <t>2268/275.4</t>
  </si>
  <si>
    <t>2260/266.3</t>
  </si>
  <si>
    <t>2341/266.0</t>
  </si>
  <si>
    <t>2397/278.5</t>
  </si>
  <si>
    <t>2343/270.1</t>
  </si>
  <si>
    <t>2252/263.3</t>
  </si>
  <si>
    <t>2232/268.1</t>
  </si>
  <si>
    <t>2249/276.1</t>
  </si>
  <si>
    <t>2197/263.3</t>
  </si>
  <si>
    <t>2416/275.1</t>
  </si>
  <si>
    <t>2288/280.0</t>
  </si>
  <si>
    <t>2524/269.1</t>
  </si>
  <si>
    <t>2217/273.2</t>
  </si>
  <si>
    <t>2550/272.5</t>
  </si>
  <si>
    <t>2389/225.0</t>
  </si>
  <si>
    <t>2605/247.0</t>
  </si>
  <si>
    <t>2599/256.3</t>
  </si>
  <si>
    <t>2334/252.1</t>
  </si>
  <si>
    <t>2310/257.1</t>
  </si>
  <si>
    <t>2758/269.0</t>
  </si>
  <si>
    <t>2646/270.1</t>
  </si>
  <si>
    <t>2524/274.4</t>
  </si>
  <si>
    <t>2415/274.3</t>
  </si>
  <si>
    <t>2573/267.0</t>
  </si>
  <si>
    <t>2762/275.5</t>
  </si>
  <si>
    <t>2483/277.5</t>
  </si>
  <si>
    <t>2521/262.3</t>
  </si>
  <si>
    <t>2040/238.2</t>
  </si>
  <si>
    <t>2101/218.2</t>
  </si>
  <si>
    <t>2487/274.3</t>
  </si>
  <si>
    <t>2612/277.3</t>
  </si>
  <si>
    <t>2568/268.5</t>
  </si>
  <si>
    <t>2660/269.3</t>
  </si>
  <si>
    <t>overs faced</t>
  </si>
  <si>
    <t>Overs bowled</t>
  </si>
  <si>
    <t>Win Percntage</t>
  </si>
  <si>
    <t>Normalised NRR</t>
  </si>
  <si>
    <t>Batting Strength</t>
  </si>
  <si>
    <t>Bowling Strength</t>
  </si>
  <si>
    <t>Batting Runs per Over</t>
  </si>
  <si>
    <t>Bowling Runs per Over</t>
  </si>
  <si>
    <t>SDI</t>
  </si>
  <si>
    <t>Rankings</t>
  </si>
  <si>
    <t>Win Percentage Ranks</t>
  </si>
  <si>
    <t>NRR Ranks</t>
  </si>
  <si>
    <t>Season Dominance Index</t>
  </si>
  <si>
    <t>Balanced Performance Consistensy</t>
  </si>
  <si>
    <t>Balanced Performer Index</t>
  </si>
  <si>
    <t>Balanced Performance</t>
  </si>
  <si>
    <t>SL</t>
  </si>
  <si>
    <t>Win % 2022</t>
  </si>
  <si>
    <t>Win % 2023</t>
  </si>
  <si>
    <t>Win % 2024</t>
  </si>
  <si>
    <t>Average Win %</t>
  </si>
  <si>
    <t>NRR % 2022</t>
  </si>
  <si>
    <t>NRR % 2023</t>
  </si>
  <si>
    <t>NRR % 2024</t>
  </si>
  <si>
    <t>Avg NRR</t>
  </si>
  <si>
    <t>Batting Strength 22</t>
  </si>
  <si>
    <t>Batting Strength 23</t>
  </si>
  <si>
    <t>Batting Strength 24</t>
  </si>
  <si>
    <t>Bowling Strength 22</t>
  </si>
  <si>
    <t>Bowling Strength 23</t>
  </si>
  <si>
    <t>Bowling Strength 24</t>
  </si>
  <si>
    <t>Avg Bowling</t>
  </si>
  <si>
    <t>Avg Batting</t>
  </si>
  <si>
    <t>SDI 22</t>
  </si>
  <si>
    <t>SDI 23</t>
  </si>
  <si>
    <t>SDI 24</t>
  </si>
  <si>
    <t>Avg SDI</t>
  </si>
  <si>
    <t>Balanced Performance 22</t>
  </si>
  <si>
    <t>Balanced Performance 23</t>
  </si>
  <si>
    <t>Balanced Performance 24</t>
  </si>
  <si>
    <t>Avg Balanced Performance</t>
  </si>
  <si>
    <t>Balanced performes</t>
  </si>
  <si>
    <t>CI</t>
  </si>
  <si>
    <t>Standard deviation</t>
  </si>
  <si>
    <t>Consistency Index</t>
  </si>
  <si>
    <t xml:space="preserve"> Ranking based on Avg SDI</t>
  </si>
  <si>
    <t xml:space="preserve"> Ranking based on Consistent</t>
  </si>
  <si>
    <t>AVG SDI</t>
  </si>
  <si>
    <t>Team</t>
  </si>
  <si>
    <t>Season Wise analysis</t>
  </si>
  <si>
    <t>Win% 22</t>
  </si>
  <si>
    <t>Win% 23</t>
  </si>
  <si>
    <t>Win% 24</t>
  </si>
  <si>
    <t>All Rankings Comparison</t>
  </si>
  <si>
    <t>Teams</t>
  </si>
  <si>
    <t>SL. NO</t>
  </si>
  <si>
    <t>Win % Rank</t>
  </si>
  <si>
    <t>NRR Rank</t>
  </si>
  <si>
    <t>Batting Strength Rank</t>
  </si>
  <si>
    <t>Bowling Strength Rank</t>
  </si>
  <si>
    <t>Consistancy Rank</t>
  </si>
  <si>
    <t>Overall Performance Rank</t>
  </si>
  <si>
    <t>2023 Rankings</t>
  </si>
  <si>
    <t>2024 Rankings</t>
  </si>
  <si>
    <t>2022 Rankings</t>
  </si>
  <si>
    <t>Overall Rankings</t>
  </si>
  <si>
    <t xml:space="preserve"> Ranking based on Consistancy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</si>
</sst>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5" tint="0.59999389629810485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E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10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9" fontId="0" fillId="0" borderId="1" xfId="1" applyFont="1" applyFill="1" applyBorder="1"/>
    <xf numFmtId="10" fontId="0" fillId="0" borderId="1" xfId="0" applyNumberFormat="1" applyBorder="1"/>
    <xf numFmtId="10" fontId="0" fillId="0" borderId="1" xfId="1" applyNumberFormat="1" applyFont="1" applyFill="1" applyBorder="1"/>
    <xf numFmtId="9" fontId="0" fillId="0" borderId="2" xfId="0" applyNumberFormat="1" applyBorder="1"/>
    <xf numFmtId="9" fontId="0" fillId="0" borderId="1" xfId="0" applyNumberFormat="1" applyBorder="1"/>
    <xf numFmtId="9" fontId="0" fillId="0" borderId="0" xfId="1" applyFont="1"/>
    <xf numFmtId="0" fontId="0" fillId="0" borderId="0" xfId="0" applyAlignment="1">
      <alignment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2" fontId="0" fillId="0" borderId="1" xfId="0" applyNumberFormat="1" applyBorder="1"/>
    <xf numFmtId="10" fontId="0" fillId="0" borderId="1" xfId="1" applyNumberFormat="1" applyFon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/>
    <xf numFmtId="0" fontId="4" fillId="3" borderId="0" xfId="0" applyFont="1" applyFill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10" fontId="0" fillId="0" borderId="19" xfId="1" applyNumberFormat="1" applyFont="1" applyBorder="1"/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/>
    <xf numFmtId="10" fontId="0" fillId="0" borderId="22" xfId="1" applyNumberFormat="1" applyFont="1" applyBorder="1"/>
    <xf numFmtId="0" fontId="2" fillId="0" borderId="1" xfId="0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10" fontId="0" fillId="0" borderId="23" xfId="1" applyNumberFormat="1" applyFont="1" applyBorder="1"/>
    <xf numFmtId="0" fontId="0" fillId="0" borderId="10" xfId="0" applyBorder="1"/>
    <xf numFmtId="10" fontId="0" fillId="0" borderId="11" xfId="1" applyNumberFormat="1" applyFont="1" applyBorder="1"/>
    <xf numFmtId="10" fontId="0" fillId="0" borderId="0" xfId="1" applyNumberFormat="1" applyFont="1" applyBorder="1"/>
    <xf numFmtId="0" fontId="9" fillId="2" borderId="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5" xfId="0" applyBorder="1"/>
    <xf numFmtId="10" fontId="2" fillId="0" borderId="1" xfId="1" applyNumberFormat="1" applyFont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8" xfId="0" applyFont="1" applyBorder="1" applyAlignment="1">
      <alignment horizontal="center"/>
    </xf>
    <xf numFmtId="0" fontId="2" fillId="0" borderId="0" xfId="0" applyFont="1"/>
    <xf numFmtId="10" fontId="2" fillId="0" borderId="19" xfId="1" applyNumberFormat="1" applyFont="1" applyBorder="1"/>
    <xf numFmtId="0" fontId="2" fillId="0" borderId="2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0" fontId="2" fillId="0" borderId="22" xfId="1" applyNumberFormat="1" applyFont="1" applyBorder="1"/>
    <xf numFmtId="0" fontId="2" fillId="0" borderId="1" xfId="0" applyFont="1" applyBorder="1"/>
    <xf numFmtId="10" fontId="2" fillId="0" borderId="1" xfId="1" applyNumberFormat="1" applyFont="1" applyBorder="1"/>
    <xf numFmtId="0" fontId="7" fillId="4" borderId="1" xfId="0" applyFont="1" applyFill="1" applyBorder="1"/>
    <xf numFmtId="10" fontId="7" fillId="4" borderId="1" xfId="1" applyNumberFormat="1" applyFont="1" applyFill="1" applyBorder="1" applyAlignment="1">
      <alignment vertical="center"/>
    </xf>
    <xf numFmtId="9" fontId="0" fillId="0" borderId="1" xfId="1" applyFont="1" applyBorder="1"/>
    <xf numFmtId="9" fontId="0" fillId="0" borderId="0" xfId="0" applyNumberFormat="1"/>
    <xf numFmtId="0" fontId="7" fillId="4" borderId="1" xfId="0" applyFont="1" applyFill="1" applyBorder="1" applyAlignment="1">
      <alignment horizontal="center"/>
    </xf>
    <xf numFmtId="10" fontId="7" fillId="4" borderId="1" xfId="1" applyNumberFormat="1" applyFont="1" applyFill="1" applyBorder="1"/>
    <xf numFmtId="0" fontId="7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0" fontId="5" fillId="3" borderId="1" xfId="1" applyNumberFormat="1" applyFont="1" applyFill="1" applyBorder="1" applyAlignment="1">
      <alignment vertical="center"/>
    </xf>
    <xf numFmtId="10" fontId="5" fillId="3" borderId="1" xfId="1" applyNumberFormat="1" applyFont="1" applyFill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top" wrapText="1"/>
    </xf>
    <xf numFmtId="10" fontId="2" fillId="0" borderId="1" xfId="1" applyNumberFormat="1" applyFont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4" borderId="2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1C2"/>
      <color rgb="FFFFFF8B"/>
      <color rgb="FFFFFF69"/>
      <color rgb="FF86DEF6"/>
      <color rgb="FFFC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Multi-Criteria Ranking Comparison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Ranks'!$S$15</c:f>
              <c:strCache>
                <c:ptCount val="1"/>
                <c:pt idx="0">
                  <c:v>Win % Rank</c:v>
                </c:pt>
              </c:strCache>
            </c:strRef>
          </c:tx>
          <c:spPr>
            <a:noFill/>
            <a:ln w="19050">
              <a:solidFill>
                <a:schemeClr val="accent5">
                  <a:lumMod val="75000"/>
                  <a:alpha val="96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Ranks'!$R$16:$R$20</c:f>
              <c:strCache>
                <c:ptCount val="5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</c:strCache>
            </c:strRef>
          </c:cat>
          <c:val>
            <c:numRef>
              <c:f>'Overall Ranks'!$S$16:$S$20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6-4710-B14B-ED8394F1CBFD}"/>
            </c:ext>
          </c:extLst>
        </c:ser>
        <c:ser>
          <c:idx val="1"/>
          <c:order val="1"/>
          <c:tx>
            <c:strRef>
              <c:f>'Overall Ranks'!$T$15</c:f>
              <c:strCache>
                <c:ptCount val="1"/>
                <c:pt idx="0">
                  <c:v>NRR Rank</c:v>
                </c:pt>
              </c:strCache>
            </c:strRef>
          </c:tx>
          <c:spPr>
            <a:noFill/>
            <a:ln w="19050">
              <a:solidFill>
                <a:srgbClr val="FFC1C2">
                  <a:alpha val="98000"/>
                </a:srgb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Ranks'!$R$16:$R$20</c:f>
              <c:strCache>
                <c:ptCount val="5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</c:strCache>
            </c:strRef>
          </c:cat>
          <c:val>
            <c:numRef>
              <c:f>'Overall Ranks'!$T$16:$T$20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6-4710-B14B-ED8394F1CBFD}"/>
            </c:ext>
          </c:extLst>
        </c:ser>
        <c:ser>
          <c:idx val="2"/>
          <c:order val="2"/>
          <c:tx>
            <c:strRef>
              <c:f>'Overall Ranks'!$U$15</c:f>
              <c:strCache>
                <c:ptCount val="1"/>
                <c:pt idx="0">
                  <c:v>Batting Strength Rank</c:v>
                </c:pt>
              </c:strCache>
            </c:strRef>
          </c:tx>
          <c:spPr>
            <a:noFill/>
            <a:ln w="19050">
              <a:solidFill>
                <a:schemeClr val="bg1">
                  <a:lumMod val="8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Ranks'!$R$16:$R$20</c:f>
              <c:strCache>
                <c:ptCount val="5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</c:strCache>
            </c:strRef>
          </c:cat>
          <c:val>
            <c:numRef>
              <c:f>'Overall Ranks'!$U$16:$U$20</c:f>
              <c:numCache>
                <c:formatCode>General</c:formatCode>
                <c:ptCount val="5"/>
                <c:pt idx="0">
                  <c:v>10</c:v>
                </c:pt>
                <c:pt idx="1">
                  <c:v>2</c:v>
                </c:pt>
                <c:pt idx="2">
                  <c:v>9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6-4710-B14B-ED8394F1CBFD}"/>
            </c:ext>
          </c:extLst>
        </c:ser>
        <c:ser>
          <c:idx val="3"/>
          <c:order val="3"/>
          <c:tx>
            <c:strRef>
              <c:f>'Overall Ranks'!$V$15</c:f>
              <c:strCache>
                <c:ptCount val="1"/>
                <c:pt idx="0">
                  <c:v>Bowling Strength Rank</c:v>
                </c:pt>
              </c:strCache>
            </c:strRef>
          </c:tx>
          <c:spPr>
            <a:noFill/>
            <a:ln w="19050">
              <a:solidFill>
                <a:srgbClr val="FFC0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Ranks'!$R$16:$R$20</c:f>
              <c:strCache>
                <c:ptCount val="5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</c:strCache>
            </c:strRef>
          </c:cat>
          <c:val>
            <c:numRef>
              <c:f>'Overall Ranks'!$V$16:$V$20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F6-4710-B14B-ED8394F1CBFD}"/>
            </c:ext>
          </c:extLst>
        </c:ser>
        <c:ser>
          <c:idx val="4"/>
          <c:order val="4"/>
          <c:tx>
            <c:strRef>
              <c:f>'Overall Ranks'!$W$15</c:f>
              <c:strCache>
                <c:ptCount val="1"/>
                <c:pt idx="0">
                  <c:v>Balanced Performance</c:v>
                </c:pt>
              </c:strCache>
            </c:strRef>
          </c:tx>
          <c:spPr>
            <a:noFill/>
            <a:ln w="19050">
              <a:solidFill>
                <a:schemeClr val="accent6">
                  <a:lumMod val="60000"/>
                  <a:lumOff val="4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Ranks'!$R$16:$R$20</c:f>
              <c:strCache>
                <c:ptCount val="5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</c:strCache>
            </c:strRef>
          </c:cat>
          <c:val>
            <c:numRef>
              <c:f>'Overall Ranks'!$W$16:$W$20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F6-4710-B14B-ED8394F1CBFD}"/>
            </c:ext>
          </c:extLst>
        </c:ser>
        <c:ser>
          <c:idx val="5"/>
          <c:order val="5"/>
          <c:tx>
            <c:strRef>
              <c:f>'Overall Ranks'!$X$15</c:f>
              <c:strCache>
                <c:ptCount val="1"/>
                <c:pt idx="0">
                  <c:v>Overall Performance Rank</c:v>
                </c:pt>
              </c:strCache>
            </c:strRef>
          </c:tx>
          <c:spPr>
            <a:pattFill prst="ltHorz">
              <a:fgClr>
                <a:srgbClr val="FFC1C2"/>
              </a:fgClr>
              <a:bgClr>
                <a:schemeClr val="bg2">
                  <a:lumMod val="25000"/>
                </a:schemeClr>
              </a:bgClr>
            </a:pattFill>
            <a:ln w="19050">
              <a:solidFill>
                <a:srgbClr val="FF00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Ranks'!$R$16:$R$20</c:f>
              <c:strCache>
                <c:ptCount val="5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</c:strCache>
            </c:strRef>
          </c:cat>
          <c:val>
            <c:numRef>
              <c:f>'Overall Ranks'!$X$16:$X$20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F6-4710-B14B-ED8394F1CBFD}"/>
            </c:ext>
          </c:extLst>
        </c:ser>
        <c:ser>
          <c:idx val="6"/>
          <c:order val="6"/>
          <c:tx>
            <c:strRef>
              <c:f>'Overall Ranks'!$Y$15</c:f>
              <c:strCache>
                <c:ptCount val="1"/>
                <c:pt idx="0">
                  <c:v>Consistancy Rank</c:v>
                </c:pt>
              </c:strCache>
            </c:strRef>
          </c:tx>
          <c:spPr>
            <a:noFill/>
            <a:ln w="19050">
              <a:solidFill>
                <a:srgbClr val="86DEF6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Ranks'!$R$16:$R$20</c:f>
              <c:strCache>
                <c:ptCount val="5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</c:strCache>
            </c:strRef>
          </c:cat>
          <c:val>
            <c:numRef>
              <c:f>'Overall Ranks'!$Y$16:$Y$20</c:f>
              <c:numCache>
                <c:formatCode>General</c:formatCode>
                <c:ptCount val="5"/>
                <c:pt idx="0">
                  <c:v>10</c:v>
                </c:pt>
                <c:pt idx="1">
                  <c:v>2</c:v>
                </c:pt>
                <c:pt idx="2">
                  <c:v>6</c:v>
                </c:pt>
                <c:pt idx="3">
                  <c:v>1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F6-4710-B14B-ED8394F1C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25271600"/>
        <c:axId val="1225267760"/>
      </c:barChart>
      <c:catAx>
        <c:axId val="1225271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267760"/>
        <c:crosses val="autoZero"/>
        <c:auto val="1"/>
        <c:lblAlgn val="ctr"/>
        <c:lblOffset val="100"/>
        <c:noMultiLvlLbl val="0"/>
      </c:catAx>
      <c:valAx>
        <c:axId val="1225267760"/>
        <c:scaling>
          <c:orientation val="maxMin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5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271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Multi-Criteria Ranking Comparison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Ranks'!$S$15</c:f>
              <c:strCache>
                <c:ptCount val="1"/>
                <c:pt idx="0">
                  <c:v>Win % Rank</c:v>
                </c:pt>
              </c:strCache>
            </c:strRef>
          </c:tx>
          <c:spPr>
            <a:noFill/>
            <a:ln w="19050">
              <a:solidFill>
                <a:srgbClr val="86DEF6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Ranks'!$R$21:$R$25</c:f>
              <c:strCache>
                <c:ptCount val="5"/>
                <c:pt idx="0">
                  <c:v>PBKS</c:v>
                </c:pt>
                <c:pt idx="1">
                  <c:v>KKR</c:v>
                </c:pt>
                <c:pt idx="2">
                  <c:v>SRH</c:v>
                </c:pt>
                <c:pt idx="3">
                  <c:v>CSK</c:v>
                </c:pt>
                <c:pt idx="4">
                  <c:v>MI</c:v>
                </c:pt>
              </c:strCache>
            </c:strRef>
          </c:cat>
          <c:val>
            <c:numRef>
              <c:f>'Overall Ranks'!$S$21:$S$25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9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F-441B-8C46-5A17FB2B4260}"/>
            </c:ext>
          </c:extLst>
        </c:ser>
        <c:ser>
          <c:idx val="1"/>
          <c:order val="1"/>
          <c:tx>
            <c:strRef>
              <c:f>'Overall Ranks'!$T$15</c:f>
              <c:strCache>
                <c:ptCount val="1"/>
                <c:pt idx="0">
                  <c:v>NRR Rank</c:v>
                </c:pt>
              </c:strCache>
            </c:strRef>
          </c:tx>
          <c:spPr>
            <a:noFill/>
            <a:ln w="19050">
              <a:solidFill>
                <a:srgbClr val="FFC1C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Ranks'!$R$21:$R$25</c:f>
              <c:strCache>
                <c:ptCount val="5"/>
                <c:pt idx="0">
                  <c:v>PBKS</c:v>
                </c:pt>
                <c:pt idx="1">
                  <c:v>KKR</c:v>
                </c:pt>
                <c:pt idx="2">
                  <c:v>SRH</c:v>
                </c:pt>
                <c:pt idx="3">
                  <c:v>CSK</c:v>
                </c:pt>
                <c:pt idx="4">
                  <c:v>MI</c:v>
                </c:pt>
              </c:strCache>
            </c:strRef>
          </c:cat>
          <c:val>
            <c:numRef>
              <c:f>'Overall Ranks'!$T$21:$T$25</c:f>
              <c:numCache>
                <c:formatCode>General</c:formatCode>
                <c:ptCount val="5"/>
                <c:pt idx="0">
                  <c:v>7</c:v>
                </c:pt>
                <c:pt idx="1">
                  <c:v>1</c:v>
                </c:pt>
                <c:pt idx="2">
                  <c:v>8</c:v>
                </c:pt>
                <c:pt idx="3">
                  <c:v>6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CF-441B-8C46-5A17FB2B4260}"/>
            </c:ext>
          </c:extLst>
        </c:ser>
        <c:ser>
          <c:idx val="2"/>
          <c:order val="2"/>
          <c:tx>
            <c:strRef>
              <c:f>'Overall Ranks'!$U$15</c:f>
              <c:strCache>
                <c:ptCount val="1"/>
                <c:pt idx="0">
                  <c:v>Batting Strength Rank</c:v>
                </c:pt>
              </c:strCache>
            </c:strRef>
          </c:tx>
          <c:spPr>
            <a:noFill/>
            <a:ln w="19050">
              <a:solidFill>
                <a:schemeClr val="bg1">
                  <a:lumMod val="9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Ranks'!$R$21:$R$25</c:f>
              <c:strCache>
                <c:ptCount val="5"/>
                <c:pt idx="0">
                  <c:v>PBKS</c:v>
                </c:pt>
                <c:pt idx="1">
                  <c:v>KKR</c:v>
                </c:pt>
                <c:pt idx="2">
                  <c:v>SRH</c:v>
                </c:pt>
                <c:pt idx="3">
                  <c:v>CSK</c:v>
                </c:pt>
                <c:pt idx="4">
                  <c:v>MI</c:v>
                </c:pt>
              </c:strCache>
            </c:strRef>
          </c:cat>
          <c:val>
            <c:numRef>
              <c:f>'Overall Ranks'!$U$21:$U$25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CF-441B-8C46-5A17FB2B4260}"/>
            </c:ext>
          </c:extLst>
        </c:ser>
        <c:ser>
          <c:idx val="3"/>
          <c:order val="3"/>
          <c:tx>
            <c:strRef>
              <c:f>'Overall Ranks'!$V$15</c:f>
              <c:strCache>
                <c:ptCount val="1"/>
                <c:pt idx="0">
                  <c:v>Bowling Strength Rank</c:v>
                </c:pt>
              </c:strCache>
            </c:strRef>
          </c:tx>
          <c:spPr>
            <a:noFill/>
            <a:ln w="15875">
              <a:solidFill>
                <a:srgbClr val="FFFF8B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Ranks'!$R$21:$R$25</c:f>
              <c:strCache>
                <c:ptCount val="5"/>
                <c:pt idx="0">
                  <c:v>PBKS</c:v>
                </c:pt>
                <c:pt idx="1">
                  <c:v>KKR</c:v>
                </c:pt>
                <c:pt idx="2">
                  <c:v>SRH</c:v>
                </c:pt>
                <c:pt idx="3">
                  <c:v>CSK</c:v>
                </c:pt>
                <c:pt idx="4">
                  <c:v>MI</c:v>
                </c:pt>
              </c:strCache>
            </c:strRef>
          </c:cat>
          <c:val>
            <c:numRef>
              <c:f>'Overall Ranks'!$V$21:$V$25</c:f>
              <c:numCache>
                <c:formatCode>General</c:formatCode>
                <c:ptCount val="5"/>
                <c:pt idx="0">
                  <c:v>8</c:v>
                </c:pt>
                <c:pt idx="1">
                  <c:v>4</c:v>
                </c:pt>
                <c:pt idx="2">
                  <c:v>9</c:v>
                </c:pt>
                <c:pt idx="3">
                  <c:v>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CF-441B-8C46-5A17FB2B4260}"/>
            </c:ext>
          </c:extLst>
        </c:ser>
        <c:ser>
          <c:idx val="4"/>
          <c:order val="4"/>
          <c:tx>
            <c:strRef>
              <c:f>'Overall Ranks'!$W$15</c:f>
              <c:strCache>
                <c:ptCount val="1"/>
                <c:pt idx="0">
                  <c:v>Balanced Performance</c:v>
                </c:pt>
              </c:strCache>
            </c:strRef>
          </c:tx>
          <c:spPr>
            <a:noFill/>
            <a:ln w="19050">
              <a:solidFill>
                <a:schemeClr val="accent6">
                  <a:lumMod val="40000"/>
                  <a:lumOff val="6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Ranks'!$R$21:$R$25</c:f>
              <c:strCache>
                <c:ptCount val="5"/>
                <c:pt idx="0">
                  <c:v>PBKS</c:v>
                </c:pt>
                <c:pt idx="1">
                  <c:v>KKR</c:v>
                </c:pt>
                <c:pt idx="2">
                  <c:v>SRH</c:v>
                </c:pt>
                <c:pt idx="3">
                  <c:v>CSK</c:v>
                </c:pt>
                <c:pt idx="4">
                  <c:v>MI</c:v>
                </c:pt>
              </c:strCache>
            </c:strRef>
          </c:cat>
          <c:val>
            <c:numRef>
              <c:f>'Overall Ranks'!$W$21:$W$25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9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CF-441B-8C46-5A17FB2B4260}"/>
            </c:ext>
          </c:extLst>
        </c:ser>
        <c:ser>
          <c:idx val="5"/>
          <c:order val="5"/>
          <c:tx>
            <c:strRef>
              <c:f>'Overall Ranks'!$X$15</c:f>
              <c:strCache>
                <c:ptCount val="1"/>
                <c:pt idx="0">
                  <c:v>Overall Performance Rank</c:v>
                </c:pt>
              </c:strCache>
            </c:strRef>
          </c:tx>
          <c:spPr>
            <a:pattFill prst="ltHorz">
              <a:fgClr>
                <a:srgbClr val="FFC1C2"/>
              </a:fgClr>
              <a:bgClr>
                <a:schemeClr val="bg2">
                  <a:lumMod val="25000"/>
                </a:schemeClr>
              </a:bgClr>
            </a:pattFill>
            <a:ln w="19050">
              <a:solidFill>
                <a:srgbClr val="FF00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Ranks'!$R$21:$R$25</c:f>
              <c:strCache>
                <c:ptCount val="5"/>
                <c:pt idx="0">
                  <c:v>PBKS</c:v>
                </c:pt>
                <c:pt idx="1">
                  <c:v>KKR</c:v>
                </c:pt>
                <c:pt idx="2">
                  <c:v>SRH</c:v>
                </c:pt>
                <c:pt idx="3">
                  <c:v>CSK</c:v>
                </c:pt>
                <c:pt idx="4">
                  <c:v>MI</c:v>
                </c:pt>
              </c:strCache>
            </c:strRef>
          </c:cat>
          <c:val>
            <c:numRef>
              <c:f>'Overall Ranks'!$X$21:$X$25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9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CF-441B-8C46-5A17FB2B4260}"/>
            </c:ext>
          </c:extLst>
        </c:ser>
        <c:ser>
          <c:idx val="6"/>
          <c:order val="6"/>
          <c:tx>
            <c:strRef>
              <c:f>'Overall Ranks'!$Y$15</c:f>
              <c:strCache>
                <c:ptCount val="1"/>
                <c:pt idx="0">
                  <c:v>Consistancy Rank</c:v>
                </c:pt>
              </c:strCache>
            </c:strRef>
          </c:tx>
          <c:spPr>
            <a:noFill/>
            <a:ln w="19050">
              <a:solidFill>
                <a:schemeClr val="accent1">
                  <a:lumMod val="60000"/>
                  <a:lumOff val="4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Ranks'!$R$21:$R$25</c:f>
              <c:strCache>
                <c:ptCount val="5"/>
                <c:pt idx="0">
                  <c:v>PBKS</c:v>
                </c:pt>
                <c:pt idx="1">
                  <c:v>KKR</c:v>
                </c:pt>
                <c:pt idx="2">
                  <c:v>SRH</c:v>
                </c:pt>
                <c:pt idx="3">
                  <c:v>CSK</c:v>
                </c:pt>
                <c:pt idx="4">
                  <c:v>MI</c:v>
                </c:pt>
              </c:strCache>
            </c:strRef>
          </c:cat>
          <c:val>
            <c:numRef>
              <c:f>'Overall Ranks'!$Y$21:$Y$25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CF-441B-8C46-5A17FB2B4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25271600"/>
        <c:axId val="1225267760"/>
      </c:barChart>
      <c:catAx>
        <c:axId val="122527160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267760"/>
        <c:crosses val="autoZero"/>
        <c:auto val="1"/>
        <c:lblAlgn val="ctr"/>
        <c:lblOffset val="100"/>
        <c:noMultiLvlLbl val="0"/>
      </c:catAx>
      <c:valAx>
        <c:axId val="1225267760"/>
        <c:scaling>
          <c:orientation val="maxMin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5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271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Sustained Performance Dominance (2022–2024)</a:t>
            </a:r>
            <a:endParaRPr lang="en-IN"/>
          </a:p>
        </c:rich>
      </c:tx>
      <c:layout>
        <c:manualLayout>
          <c:xMode val="edge"/>
          <c:yMode val="edge"/>
          <c:x val="0.146152887139107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2.5000000000000001E-2"/>
          <c:y val="0.24101851851851852"/>
          <c:w val="0.93888888888888888"/>
          <c:h val="0.62776975794692325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Ranking based on Avg SDI		'!$B$3:$B$12</c:f>
              <c:strCache>
                <c:ptCount val="10"/>
                <c:pt idx="0">
                  <c:v>RR</c:v>
                </c:pt>
                <c:pt idx="1">
                  <c:v>KKR</c:v>
                </c:pt>
                <c:pt idx="2">
                  <c:v>GT</c:v>
                </c:pt>
                <c:pt idx="3">
                  <c:v>LSG</c:v>
                </c:pt>
                <c:pt idx="4">
                  <c:v>RCB</c:v>
                </c:pt>
                <c:pt idx="5">
                  <c:v>PBKS</c:v>
                </c:pt>
                <c:pt idx="6">
                  <c:v>CSK</c:v>
                </c:pt>
                <c:pt idx="7">
                  <c:v>DC</c:v>
                </c:pt>
                <c:pt idx="8">
                  <c:v>SRH</c:v>
                </c:pt>
                <c:pt idx="9">
                  <c:v>MI</c:v>
                </c:pt>
              </c:strCache>
            </c:strRef>
          </c:cat>
          <c:val>
            <c:numRef>
              <c:f>' Ranking based on Avg SDI		'!$C$3:$C$12</c:f>
              <c:numCache>
                <c:formatCode>0.00%</c:formatCode>
                <c:ptCount val="10"/>
                <c:pt idx="0">
                  <c:v>0.6436773113150539</c:v>
                </c:pt>
                <c:pt idx="1">
                  <c:v>0.61817104220942098</c:v>
                </c:pt>
                <c:pt idx="2">
                  <c:v>0.60047243127303629</c:v>
                </c:pt>
                <c:pt idx="3">
                  <c:v>0.56552266204947765</c:v>
                </c:pt>
                <c:pt idx="4">
                  <c:v>0.54962016269605563</c:v>
                </c:pt>
                <c:pt idx="5">
                  <c:v>0.47880747738435264</c:v>
                </c:pt>
                <c:pt idx="6">
                  <c:v>0.47553318116530857</c:v>
                </c:pt>
                <c:pt idx="7">
                  <c:v>0.44967957193192509</c:v>
                </c:pt>
                <c:pt idx="8">
                  <c:v>0.42869984840624314</c:v>
                </c:pt>
                <c:pt idx="9">
                  <c:v>0.3270808498363677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E-40F2-AF28-3B644D16675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41712559"/>
        <c:axId val="1041718319"/>
      </c:barChart>
      <c:catAx>
        <c:axId val="10417125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18319"/>
        <c:crosses val="autoZero"/>
        <c:auto val="1"/>
        <c:lblAlgn val="ctr"/>
        <c:lblOffset val="100"/>
        <c:noMultiLvlLbl val="0"/>
      </c:catAx>
      <c:valAx>
        <c:axId val="10417183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1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Dominance VS Consistency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A2D5585-64DA-4768-B316-000D228CC5E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744-4D41-916C-8D6BFFE34F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68226A3-D739-4A8A-9E2C-E7DE24302FB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744-4D41-916C-8D6BFFE34F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F7AC7DD-8706-43F5-A30D-54AE7CA827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744-4D41-916C-8D6BFFE34F0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5799FB5-A8EC-48DB-803E-49E5CBAA70F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744-4D41-916C-8D6BFFE34F0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97DAA28-5106-4EEA-A232-8EC083352BE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744-4D41-916C-8D6BFFE34F0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5E44D3D-9EE0-444E-8BB7-DE383B7E4CD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744-4D41-916C-8D6BFFE34F0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7B53E70-1607-4FCC-BF86-A1AA5FD4345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744-4D41-916C-8D6BFFE34F0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D2F3DD6-3B0B-4EF5-9C46-05C03200FB2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744-4D41-916C-8D6BFFE34F0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DF71269-29DF-4A59-8A1B-98496F05942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744-4D41-916C-8D6BFFE34F0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EEB2C0C-E88E-46EB-A46A-FB715B2BD20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744-4D41-916C-8D6BFFE34F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'Overall Ranks'!$V$2:$V$11</c:f>
              <c:numCache>
                <c:formatCode>0%</c:formatCode>
                <c:ptCount val="10"/>
                <c:pt idx="0">
                  <c:v>0.60047243127303629</c:v>
                </c:pt>
                <c:pt idx="1">
                  <c:v>0.6436773113150539</c:v>
                </c:pt>
                <c:pt idx="2">
                  <c:v>0.56552266204947765</c:v>
                </c:pt>
                <c:pt idx="3">
                  <c:v>0.54962016269605563</c:v>
                </c:pt>
                <c:pt idx="4">
                  <c:v>0.44967957193192509</c:v>
                </c:pt>
                <c:pt idx="5">
                  <c:v>0.47880747738435264</c:v>
                </c:pt>
                <c:pt idx="6">
                  <c:v>0.61817104220942098</c:v>
                </c:pt>
                <c:pt idx="7">
                  <c:v>0.42869984840624314</c:v>
                </c:pt>
                <c:pt idx="8">
                  <c:v>0.47553318116530857</c:v>
                </c:pt>
                <c:pt idx="9">
                  <c:v>0.3270808498363677</c:v>
                </c:pt>
              </c:numCache>
            </c:numRef>
          </c:xVal>
          <c:yVal>
            <c:numRef>
              <c:f>'Overall Ranks'!$X$2:$X$11</c:f>
              <c:numCache>
                <c:formatCode>0%</c:formatCode>
                <c:ptCount val="10"/>
                <c:pt idx="0">
                  <c:v>0</c:v>
                </c:pt>
                <c:pt idx="1">
                  <c:v>0.63823424108848226</c:v>
                </c:pt>
                <c:pt idx="2">
                  <c:v>0.44076271752665341</c:v>
                </c:pt>
                <c:pt idx="3">
                  <c:v>1</c:v>
                </c:pt>
                <c:pt idx="4">
                  <c:v>0.32899595973726026</c:v>
                </c:pt>
                <c:pt idx="5">
                  <c:v>0.53233151038475113</c:v>
                </c:pt>
                <c:pt idx="6">
                  <c:v>0.48540873146693231</c:v>
                </c:pt>
                <c:pt idx="7">
                  <c:v>0.62089846618408528</c:v>
                </c:pt>
                <c:pt idx="8">
                  <c:v>0.12559358039197432</c:v>
                </c:pt>
                <c:pt idx="9">
                  <c:v>0.40368723435010978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'Overall Ranks'!$B$2:$B$11</c15:f>
                <c15:dlblRangeCache>
                  <c:ptCount val="10"/>
                  <c:pt idx="0">
                    <c:v>GT</c:v>
                  </c:pt>
                  <c:pt idx="1">
                    <c:v>RR</c:v>
                  </c:pt>
                  <c:pt idx="2">
                    <c:v>LSG</c:v>
                  </c:pt>
                  <c:pt idx="3">
                    <c:v>RCB</c:v>
                  </c:pt>
                  <c:pt idx="4">
                    <c:v>DC</c:v>
                  </c:pt>
                  <c:pt idx="5">
                    <c:v>PBKS</c:v>
                  </c:pt>
                  <c:pt idx="6">
                    <c:v>KKR</c:v>
                  </c:pt>
                  <c:pt idx="7">
                    <c:v>SRH</c:v>
                  </c:pt>
                  <c:pt idx="8">
                    <c:v>CSK</c:v>
                  </c:pt>
                  <c:pt idx="9">
                    <c:v>MI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D744-4D41-916C-8D6BFFE34F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55259791"/>
        <c:axId val="955262671"/>
      </c:scatterChart>
      <c:valAx>
        <c:axId val="955259791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62671"/>
        <c:crosses val="autoZero"/>
        <c:crossBetween val="midCat"/>
      </c:valAx>
      <c:valAx>
        <c:axId val="95526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59791"/>
        <c:crossesAt val="0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Team Skill Balance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Batting Strength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'Overall Ranks'!$B$2:$B$11</c:f>
              <c:strCache>
                <c:ptCount val="10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  <c:pt idx="5">
                  <c:v>PBKS</c:v>
                </c:pt>
                <c:pt idx="6">
                  <c:v>KKR</c:v>
                </c:pt>
                <c:pt idx="7">
                  <c:v>SRH</c:v>
                </c:pt>
                <c:pt idx="8">
                  <c:v>CSK</c:v>
                </c:pt>
                <c:pt idx="9">
                  <c:v>MI</c:v>
                </c:pt>
              </c:strCache>
            </c:strRef>
          </c:cat>
          <c:val>
            <c:numRef>
              <c:f>'Overall Ranks'!$N$2:$N$11</c:f>
              <c:numCache>
                <c:formatCode>0%</c:formatCode>
                <c:ptCount val="10"/>
                <c:pt idx="0">
                  <c:v>0.38282081482848307</c:v>
                </c:pt>
                <c:pt idx="1">
                  <c:v>0.64087322085536425</c:v>
                </c:pt>
                <c:pt idx="2">
                  <c:v>0.39645418012790162</c:v>
                </c:pt>
                <c:pt idx="3">
                  <c:v>0.56404187626031665</c:v>
                </c:pt>
                <c:pt idx="4">
                  <c:v>0.49593751343504583</c:v>
                </c:pt>
                <c:pt idx="5">
                  <c:v>0.58982696946513558</c:v>
                </c:pt>
                <c:pt idx="6">
                  <c:v>0.64456682844568591</c:v>
                </c:pt>
                <c:pt idx="7">
                  <c:v>0.56172120045533735</c:v>
                </c:pt>
                <c:pt idx="8">
                  <c:v>0.40859393377896575</c:v>
                </c:pt>
                <c:pt idx="9">
                  <c:v>0.49565646490951315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8-414A-804B-E32A2724C888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'Overall Ranks'!$B$2:$B$11</c:f>
              <c:strCache>
                <c:ptCount val="10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  <c:pt idx="5">
                  <c:v>PBKS</c:v>
                </c:pt>
                <c:pt idx="6">
                  <c:v>KKR</c:v>
                </c:pt>
                <c:pt idx="7">
                  <c:v>SRH</c:v>
                </c:pt>
                <c:pt idx="8">
                  <c:v>CSK</c:v>
                </c:pt>
                <c:pt idx="9">
                  <c:v>MI</c:v>
                </c:pt>
              </c:strCache>
            </c:strRef>
          </c:cat>
          <c:val>
            <c:numRef>
              <c:f>'Overall Ranks'!$O$2:$O$11</c:f>
            </c:numRef>
          </c:val>
          <c:extLst>
            <c:ext xmlns:c16="http://schemas.microsoft.com/office/drawing/2014/chart" uri="{C3380CC4-5D6E-409C-BE32-E72D297353CC}">
              <c16:uniqueId val="{00000001-FBE8-414A-804B-E32A2724C888}"/>
            </c:ext>
          </c:extLst>
        </c:ser>
        <c:ser>
          <c:idx val="2"/>
          <c:order val="2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'Overall Ranks'!$B$2:$B$11</c:f>
              <c:strCache>
                <c:ptCount val="10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  <c:pt idx="5">
                  <c:v>PBKS</c:v>
                </c:pt>
                <c:pt idx="6">
                  <c:v>KKR</c:v>
                </c:pt>
                <c:pt idx="7">
                  <c:v>SRH</c:v>
                </c:pt>
                <c:pt idx="8">
                  <c:v>CSK</c:v>
                </c:pt>
                <c:pt idx="9">
                  <c:v>MI</c:v>
                </c:pt>
              </c:strCache>
            </c:strRef>
          </c:cat>
          <c:val>
            <c:numRef>
              <c:f>'Overall Ranks'!$P$2:$P$11</c:f>
            </c:numRef>
          </c:val>
          <c:extLst>
            <c:ext xmlns:c16="http://schemas.microsoft.com/office/drawing/2014/chart" uri="{C3380CC4-5D6E-409C-BE32-E72D297353CC}">
              <c16:uniqueId val="{00000002-FBE8-414A-804B-E32A2724C888}"/>
            </c:ext>
          </c:extLst>
        </c:ser>
        <c:ser>
          <c:idx val="3"/>
          <c:order val="3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'Overall Ranks'!$B$2:$B$11</c:f>
              <c:strCache>
                <c:ptCount val="10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  <c:pt idx="5">
                  <c:v>PBKS</c:v>
                </c:pt>
                <c:pt idx="6">
                  <c:v>KKR</c:v>
                </c:pt>
                <c:pt idx="7">
                  <c:v>SRH</c:v>
                </c:pt>
                <c:pt idx="8">
                  <c:v>CSK</c:v>
                </c:pt>
                <c:pt idx="9">
                  <c:v>MI</c:v>
                </c:pt>
              </c:strCache>
            </c:strRef>
          </c:cat>
          <c:val>
            <c:numRef>
              <c:f>'Overall Ranks'!$Q$2:$Q$11</c:f>
            </c:numRef>
          </c:val>
          <c:extLst>
            <c:ext xmlns:c16="http://schemas.microsoft.com/office/drawing/2014/chart" uri="{C3380CC4-5D6E-409C-BE32-E72D297353CC}">
              <c16:uniqueId val="{00000003-FBE8-414A-804B-E32A2724C888}"/>
            </c:ext>
          </c:extLst>
        </c:ser>
        <c:ser>
          <c:idx val="4"/>
          <c:order val="4"/>
          <c:tx>
            <c:v>Bowling Strength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'Overall Ranks'!$B$2:$B$11</c:f>
              <c:strCache>
                <c:ptCount val="10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  <c:pt idx="5">
                  <c:v>PBKS</c:v>
                </c:pt>
                <c:pt idx="6">
                  <c:v>KKR</c:v>
                </c:pt>
                <c:pt idx="7">
                  <c:v>SRH</c:v>
                </c:pt>
                <c:pt idx="8">
                  <c:v>CSK</c:v>
                </c:pt>
                <c:pt idx="9">
                  <c:v>MI</c:v>
                </c:pt>
              </c:strCache>
            </c:strRef>
          </c:cat>
          <c:val>
            <c:numRef>
              <c:f>'Overall Ranks'!$R$2:$R$11</c:f>
              <c:numCache>
                <c:formatCode>0%</c:formatCode>
                <c:ptCount val="10"/>
                <c:pt idx="0">
                  <c:v>0.79430909030289898</c:v>
                </c:pt>
                <c:pt idx="1">
                  <c:v>0.73617923671657548</c:v>
                </c:pt>
                <c:pt idx="2">
                  <c:v>0.7199183363327496</c:v>
                </c:pt>
                <c:pt idx="3">
                  <c:v>0.49432389994569376</c:v>
                </c:pt>
                <c:pt idx="4">
                  <c:v>0.46472797083536399</c:v>
                </c:pt>
                <c:pt idx="5">
                  <c:v>0.44131106267831238</c:v>
                </c:pt>
                <c:pt idx="6">
                  <c:v>0.66500818766208736</c:v>
                </c:pt>
                <c:pt idx="7">
                  <c:v>0.27456295861514385</c:v>
                </c:pt>
                <c:pt idx="8">
                  <c:v>0.58011041495076487</c:v>
                </c:pt>
                <c:pt idx="9">
                  <c:v>7.1249364948542046E-2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E8-414A-804B-E32A2724C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870389119"/>
        <c:axId val="870391039"/>
      </c:barChart>
      <c:lineChart>
        <c:grouping val="standard"/>
        <c:varyColors val="0"/>
        <c:ser>
          <c:idx val="5"/>
          <c:order val="5"/>
          <c:tx>
            <c:v>Balanced Performance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'Overall Ranks'!$AB$2:$AB$11</c:f>
              <c:numCache>
                <c:formatCode>0%</c:formatCode>
                <c:ptCount val="10"/>
                <c:pt idx="0">
                  <c:v>0.58856495256569097</c:v>
                </c:pt>
                <c:pt idx="1">
                  <c:v>0.68852622878596981</c:v>
                </c:pt>
                <c:pt idx="2">
                  <c:v>0.55818625823032564</c:v>
                </c:pt>
                <c:pt idx="3">
                  <c:v>0.52918288810300518</c:v>
                </c:pt>
                <c:pt idx="4">
                  <c:v>0.48033274213520488</c:v>
                </c:pt>
                <c:pt idx="5">
                  <c:v>0.51556901607172401</c:v>
                </c:pt>
                <c:pt idx="6">
                  <c:v>0.65478750805388664</c:v>
                </c:pt>
                <c:pt idx="7">
                  <c:v>0.41814207953524063</c:v>
                </c:pt>
                <c:pt idx="8">
                  <c:v>0.49435217436486534</c:v>
                </c:pt>
                <c:pt idx="9">
                  <c:v>0.28345291492902763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E8-414A-804B-E32A2724C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389119"/>
        <c:axId val="870391039"/>
      </c:lineChart>
      <c:catAx>
        <c:axId val="87038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391039"/>
        <c:crosses val="autoZero"/>
        <c:auto val="1"/>
        <c:lblAlgn val="ctr"/>
        <c:lblOffset val="100"/>
        <c:noMultiLvlLbl val="0"/>
      </c:catAx>
      <c:valAx>
        <c:axId val="87039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38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600" b="1" i="0" u="none" strike="noStrike" cap="none" normalizeH="0" baseline="0"/>
              <a:t>Dominance Index from Performance Indicators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Win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'Overall Ranks'!$B$2:$B$11</c:f>
              <c:strCache>
                <c:ptCount val="10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  <c:pt idx="5">
                  <c:v>PBKS</c:v>
                </c:pt>
                <c:pt idx="6">
                  <c:v>KKR</c:v>
                </c:pt>
                <c:pt idx="7">
                  <c:v>SRH</c:v>
                </c:pt>
                <c:pt idx="8">
                  <c:v>CSK</c:v>
                </c:pt>
                <c:pt idx="9">
                  <c:v>MI</c:v>
                </c:pt>
              </c:strCache>
            </c:strRef>
          </c:cat>
          <c:val>
            <c:numRef>
              <c:f>'Overall Ranks'!$F$2:$F$11</c:f>
              <c:numCache>
                <c:formatCode>0%</c:formatCode>
                <c:ptCount val="10"/>
                <c:pt idx="0">
                  <c:v>0.59523809523809523</c:v>
                </c:pt>
                <c:pt idx="1">
                  <c:v>0.5714285714285714</c:v>
                </c:pt>
                <c:pt idx="2">
                  <c:v>0.57142857142857151</c:v>
                </c:pt>
                <c:pt idx="3">
                  <c:v>0.52380952380952384</c:v>
                </c:pt>
                <c:pt idx="4">
                  <c:v>0.45238095238095238</c:v>
                </c:pt>
                <c:pt idx="5">
                  <c:v>0.4285714285714286</c:v>
                </c:pt>
                <c:pt idx="6">
                  <c:v>0.5</c:v>
                </c:pt>
                <c:pt idx="7">
                  <c:v>0.42857142857142855</c:v>
                </c:pt>
                <c:pt idx="8">
                  <c:v>0.45238095238095238</c:v>
                </c:pt>
                <c:pt idx="9">
                  <c:v>0.38095238095238093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5-4446-A0F3-31D53516611B}"/>
            </c:ext>
          </c:extLst>
        </c:ser>
        <c:ser>
          <c:idx val="1"/>
          <c:order val="1"/>
          <c:tx>
            <c:v>NRR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'Overall Ranks'!$B$2:$B$11</c:f>
              <c:strCache>
                <c:ptCount val="10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  <c:pt idx="5">
                  <c:v>PBKS</c:v>
                </c:pt>
                <c:pt idx="6">
                  <c:v>KKR</c:v>
                </c:pt>
                <c:pt idx="7">
                  <c:v>SRH</c:v>
                </c:pt>
                <c:pt idx="8">
                  <c:v>CSK</c:v>
                </c:pt>
                <c:pt idx="9">
                  <c:v>MI</c:v>
                </c:pt>
              </c:strCache>
            </c:strRef>
          </c:cat>
          <c:val>
            <c:numRef>
              <c:f>'Overall Ranks'!$J$2:$J$11</c:f>
              <c:numCache>
                <c:formatCode>0%</c:formatCode>
                <c:ptCount val="10"/>
                <c:pt idx="0">
                  <c:v>0.66666666666666663</c:v>
                </c:pt>
                <c:pt idx="1">
                  <c:v>0.70601741226026482</c:v>
                </c:pt>
                <c:pt idx="2">
                  <c:v>0.59869058801022534</c:v>
                </c:pt>
                <c:pt idx="3">
                  <c:v>0.61255757171331504</c:v>
                </c:pt>
                <c:pt idx="4">
                  <c:v>0.39932197066892128</c:v>
                </c:pt>
                <c:pt idx="5">
                  <c:v>0.492867410644029</c:v>
                </c:pt>
                <c:pt idx="6">
                  <c:v>0.7580257934838831</c:v>
                </c:pt>
                <c:pt idx="7">
                  <c:v>0.41497037237733059</c:v>
                </c:pt>
                <c:pt idx="8">
                  <c:v>0.50338180485807915</c:v>
                </c:pt>
                <c:pt idx="9">
                  <c:v>0.25952479892492547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5-4446-A0F3-31D53516611B}"/>
            </c:ext>
          </c:extLst>
        </c:ser>
        <c:ser>
          <c:idx val="2"/>
          <c:order val="2"/>
          <c:tx>
            <c:v>Balanced Performance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'Overall Ranks'!$B$2:$B$11</c:f>
              <c:strCache>
                <c:ptCount val="10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  <c:pt idx="5">
                  <c:v>PBKS</c:v>
                </c:pt>
                <c:pt idx="6">
                  <c:v>KKR</c:v>
                </c:pt>
                <c:pt idx="7">
                  <c:v>SRH</c:v>
                </c:pt>
                <c:pt idx="8">
                  <c:v>CSK</c:v>
                </c:pt>
                <c:pt idx="9">
                  <c:v>MI</c:v>
                </c:pt>
              </c:strCache>
            </c:strRef>
          </c:cat>
          <c:val>
            <c:numRef>
              <c:f>'Overall Ranks'!$AB$2:$AB$11</c:f>
              <c:numCache>
                <c:formatCode>0%</c:formatCode>
                <c:ptCount val="10"/>
                <c:pt idx="0">
                  <c:v>0.58856495256569097</c:v>
                </c:pt>
                <c:pt idx="1">
                  <c:v>0.68852622878596981</c:v>
                </c:pt>
                <c:pt idx="2">
                  <c:v>0.55818625823032564</c:v>
                </c:pt>
                <c:pt idx="3">
                  <c:v>0.52918288810300518</c:v>
                </c:pt>
                <c:pt idx="4">
                  <c:v>0.48033274213520488</c:v>
                </c:pt>
                <c:pt idx="5">
                  <c:v>0.51556901607172401</c:v>
                </c:pt>
                <c:pt idx="6">
                  <c:v>0.65478750805388664</c:v>
                </c:pt>
                <c:pt idx="7">
                  <c:v>0.41814207953524063</c:v>
                </c:pt>
                <c:pt idx="8">
                  <c:v>0.49435217436486534</c:v>
                </c:pt>
                <c:pt idx="9">
                  <c:v>0.28345291492902763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55-4446-A0F3-31D535166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955213231"/>
        <c:axId val="955215631"/>
      </c:barChart>
      <c:lineChart>
        <c:grouping val="standard"/>
        <c:varyColors val="0"/>
        <c:ser>
          <c:idx val="3"/>
          <c:order val="3"/>
          <c:tx>
            <c:v>Dominance Index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'Overall Ranks'!$AB$2:$AB$11</c:f>
              <c:numCache>
                <c:formatCode>0%</c:formatCode>
                <c:ptCount val="10"/>
                <c:pt idx="0">
                  <c:v>0.58856495256569097</c:v>
                </c:pt>
                <c:pt idx="1">
                  <c:v>0.68852622878596981</c:v>
                </c:pt>
                <c:pt idx="2">
                  <c:v>0.55818625823032564</c:v>
                </c:pt>
                <c:pt idx="3">
                  <c:v>0.52918288810300518</c:v>
                </c:pt>
                <c:pt idx="4">
                  <c:v>0.48033274213520488</c:v>
                </c:pt>
                <c:pt idx="5">
                  <c:v>0.51556901607172401</c:v>
                </c:pt>
                <c:pt idx="6">
                  <c:v>0.65478750805388664</c:v>
                </c:pt>
                <c:pt idx="7">
                  <c:v>0.41814207953524063</c:v>
                </c:pt>
                <c:pt idx="8">
                  <c:v>0.49435217436486534</c:v>
                </c:pt>
                <c:pt idx="9">
                  <c:v>0.28345291492902763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55-4446-A0F3-31D535166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213231"/>
        <c:axId val="955215631"/>
      </c:lineChart>
      <c:catAx>
        <c:axId val="95521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15631"/>
        <c:crosses val="autoZero"/>
        <c:auto val="1"/>
        <c:lblAlgn val="ctr"/>
        <c:lblOffset val="100"/>
        <c:noMultiLvlLbl val="0"/>
      </c:catAx>
      <c:valAx>
        <c:axId val="95521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1323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/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Overall</a:t>
            </a:r>
            <a:r>
              <a:rPr lang="en-IN" baseline="0"/>
              <a:t> Rank VS Win % Rank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/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Ranks'!$S$15</c:f>
              <c:strCache>
                <c:ptCount val="1"/>
                <c:pt idx="0">
                  <c:v>Win % Rank</c:v>
                </c:pt>
              </c:strCache>
            </c:strRef>
          </c:tx>
          <c:spPr>
            <a:noFill/>
            <a:ln w="6350" cap="rnd" cmpd="sng">
              <a:solidFill>
                <a:schemeClr val="accent5">
                  <a:lumMod val="75000"/>
                  <a:alpha val="92000"/>
                </a:schemeClr>
              </a:solidFill>
            </a:ln>
            <a:effectLst/>
          </c:spPr>
          <c:invertIfNegative val="0"/>
          <c:cat>
            <c:strRef>
              <c:f>'Overall Ranks'!$R$16:$R$25</c:f>
              <c:strCache>
                <c:ptCount val="10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  <c:pt idx="5">
                  <c:v>PBKS</c:v>
                </c:pt>
                <c:pt idx="6">
                  <c:v>KKR</c:v>
                </c:pt>
                <c:pt idx="7">
                  <c:v>SRH</c:v>
                </c:pt>
                <c:pt idx="8">
                  <c:v>CSK</c:v>
                </c:pt>
                <c:pt idx="9">
                  <c:v>MI</c:v>
                </c:pt>
              </c:strCache>
            </c:strRef>
          </c:cat>
          <c:val>
            <c:numRef>
              <c:f>'Overall Ranks'!$S$16:$S$25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5-45D0-A9BB-50A1C4B35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4"/>
        <c:overlap val="17"/>
        <c:axId val="1225231760"/>
        <c:axId val="1225233200"/>
      </c:barChart>
      <c:scatterChart>
        <c:scatterStyle val="lineMarker"/>
        <c:varyColors val="0"/>
        <c:ser>
          <c:idx val="1"/>
          <c:order val="1"/>
          <c:tx>
            <c:strRef>
              <c:f>'Overall Ranks'!$X$15</c:f>
              <c:strCache>
                <c:ptCount val="1"/>
                <c:pt idx="0">
                  <c:v>Overall Performance Rank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'Overall Ranks'!$R$16:$R$25</c:f>
              <c:strCache>
                <c:ptCount val="10"/>
                <c:pt idx="0">
                  <c:v>GT</c:v>
                </c:pt>
                <c:pt idx="1">
                  <c:v>RR</c:v>
                </c:pt>
                <c:pt idx="2">
                  <c:v>LSG</c:v>
                </c:pt>
                <c:pt idx="3">
                  <c:v>RCB</c:v>
                </c:pt>
                <c:pt idx="4">
                  <c:v>DC</c:v>
                </c:pt>
                <c:pt idx="5">
                  <c:v>PBKS</c:v>
                </c:pt>
                <c:pt idx="6">
                  <c:v>KKR</c:v>
                </c:pt>
                <c:pt idx="7">
                  <c:v>SRH</c:v>
                </c:pt>
                <c:pt idx="8">
                  <c:v>CSK</c:v>
                </c:pt>
                <c:pt idx="9">
                  <c:v>MI</c:v>
                </c:pt>
              </c:strCache>
            </c:strRef>
          </c:xVal>
          <c:yVal>
            <c:numRef>
              <c:f>'Overall Ranks'!$X$16:$X$25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6</c:v>
                </c:pt>
                <c:pt idx="6">
                  <c:v>2</c:v>
                </c:pt>
                <c:pt idx="7">
                  <c:v>9</c:v>
                </c:pt>
                <c:pt idx="8">
                  <c:v>7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A5-45D0-A9BB-50A1C4B35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231760"/>
        <c:axId val="1225233200"/>
      </c:scatterChart>
      <c:catAx>
        <c:axId val="122523176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233200"/>
        <c:crosses val="autoZero"/>
        <c:auto val="1"/>
        <c:lblAlgn val="ctr"/>
        <c:lblOffset val="100"/>
        <c:noMultiLvlLbl val="0"/>
      </c:catAx>
      <c:valAx>
        <c:axId val="1225233200"/>
        <c:scaling>
          <c:orientation val="maxMin"/>
          <c:max val="1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23176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600" b="1" i="0" u="none" strike="noStrike" cap="none" normalizeH="0" baseline="0"/>
              <a:t>Season-wise SDI Trend </a:t>
            </a:r>
            <a:endParaRPr lang="en-IN"/>
          </a:p>
        </c:rich>
      </c:tx>
      <c:layout>
        <c:manualLayout>
          <c:xMode val="edge"/>
          <c:yMode val="edge"/>
          <c:x val="0.32639219148078336"/>
          <c:y val="2.7257240204429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8961861741307995E-2"/>
          <c:y val="0.15782407407407409"/>
          <c:w val="0.89603809040554927"/>
          <c:h val="0.65283209701002021"/>
        </c:manualLayout>
      </c:layout>
      <c:lineChart>
        <c:grouping val="standard"/>
        <c:varyColors val="0"/>
        <c:ser>
          <c:idx val="0"/>
          <c:order val="0"/>
          <c:tx>
            <c:strRef>
              <c:f>'Team wise graphs'!$A$4:$B$4</c:f>
              <c:strCache>
                <c:ptCount val="2"/>
                <c:pt idx="0">
                  <c:v>1</c:v>
                </c:pt>
                <c:pt idx="1">
                  <c:v>RR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'Team wise graphs'!$C$3:$E$3</c:f>
              <c:strCache>
                <c:ptCount val="3"/>
                <c:pt idx="0">
                  <c:v>SDI 22</c:v>
                </c:pt>
                <c:pt idx="1">
                  <c:v>SDI 23</c:v>
                </c:pt>
                <c:pt idx="2">
                  <c:v>SDI 24</c:v>
                </c:pt>
              </c:strCache>
            </c:strRef>
          </c:cat>
          <c:val>
            <c:numRef>
              <c:f>'Team wise graphs'!$C$4:$E$4</c:f>
              <c:numCache>
                <c:formatCode>0%</c:formatCode>
                <c:ptCount val="3"/>
                <c:pt idx="0">
                  <c:v>0.80381459033275282</c:v>
                </c:pt>
                <c:pt idx="1">
                  <c:v>0.56687101829169695</c:v>
                </c:pt>
                <c:pt idx="2">
                  <c:v>0.56034632532071194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5-42B3-9982-04D878074C25}"/>
            </c:ext>
          </c:extLst>
        </c:ser>
        <c:ser>
          <c:idx val="1"/>
          <c:order val="1"/>
          <c:tx>
            <c:strRef>
              <c:f>'Team wise graphs'!$A$5:$B$5</c:f>
              <c:strCache>
                <c:ptCount val="2"/>
                <c:pt idx="0">
                  <c:v>2</c:v>
                </c:pt>
                <c:pt idx="1">
                  <c:v>KKR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'Team wise graphs'!$C$3:$E$3</c:f>
              <c:strCache>
                <c:ptCount val="3"/>
                <c:pt idx="0">
                  <c:v>SDI 22</c:v>
                </c:pt>
                <c:pt idx="1">
                  <c:v>SDI 23</c:v>
                </c:pt>
                <c:pt idx="2">
                  <c:v>SDI 24</c:v>
                </c:pt>
              </c:strCache>
            </c:strRef>
          </c:cat>
          <c:val>
            <c:numRef>
              <c:f>'Team wise graphs'!$C$5:$E$5</c:f>
              <c:numCache>
                <c:formatCode>0%</c:formatCode>
                <c:ptCount val="3"/>
                <c:pt idx="0">
                  <c:v>0.60484345232038772</c:v>
                </c:pt>
                <c:pt idx="1">
                  <c:v>0.43635502101282436</c:v>
                </c:pt>
                <c:pt idx="2">
                  <c:v>0.81331465329505104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05-42B3-9982-04D878074C25}"/>
            </c:ext>
          </c:extLst>
        </c:ser>
        <c:ser>
          <c:idx val="2"/>
          <c:order val="2"/>
          <c:tx>
            <c:strRef>
              <c:f>'Team wise graphs'!$A$6:$B$6</c:f>
              <c:strCache>
                <c:ptCount val="2"/>
                <c:pt idx="0">
                  <c:v>3</c:v>
                </c:pt>
                <c:pt idx="1">
                  <c:v>GT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'Team wise graphs'!$C$3:$E$3</c:f>
              <c:strCache>
                <c:ptCount val="3"/>
                <c:pt idx="0">
                  <c:v>SDI 22</c:v>
                </c:pt>
                <c:pt idx="1">
                  <c:v>SDI 23</c:v>
                </c:pt>
                <c:pt idx="2">
                  <c:v>SDI 24</c:v>
                </c:pt>
              </c:strCache>
            </c:strRef>
          </c:cat>
          <c:val>
            <c:numRef>
              <c:f>'Team wise graphs'!$C$6:$E$6</c:f>
              <c:numCache>
                <c:formatCode>0%</c:formatCode>
                <c:ptCount val="3"/>
                <c:pt idx="0">
                  <c:v>0.76897981821693728</c:v>
                </c:pt>
                <c:pt idx="1">
                  <c:v>0.8321412421087242</c:v>
                </c:pt>
                <c:pt idx="2">
                  <c:v>0.20029623349344738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05-42B3-9982-04D878074C25}"/>
            </c:ext>
          </c:extLst>
        </c:ser>
        <c:ser>
          <c:idx val="3"/>
          <c:order val="3"/>
          <c:tx>
            <c:strRef>
              <c:f>'Team wise graphs'!$A$7:$B$7</c:f>
              <c:strCache>
                <c:ptCount val="2"/>
                <c:pt idx="0">
                  <c:v>4</c:v>
                </c:pt>
                <c:pt idx="1">
                  <c:v>LSG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'Team wise graphs'!$C$3:$E$3</c:f>
              <c:strCache>
                <c:ptCount val="3"/>
                <c:pt idx="0">
                  <c:v>SDI 22</c:v>
                </c:pt>
                <c:pt idx="1">
                  <c:v>SDI 23</c:v>
                </c:pt>
                <c:pt idx="2">
                  <c:v>SDI 24</c:v>
                </c:pt>
              </c:strCache>
            </c:strRef>
          </c:cat>
          <c:val>
            <c:numRef>
              <c:f>'Team wise graphs'!$C$7:$E$7</c:f>
              <c:numCache>
                <c:formatCode>0%</c:formatCode>
                <c:ptCount val="3"/>
                <c:pt idx="0">
                  <c:v>0.72732106134308383</c:v>
                </c:pt>
                <c:pt idx="1">
                  <c:v>0.63215973598950093</c:v>
                </c:pt>
                <c:pt idx="2">
                  <c:v>0.33708718881584809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05-42B3-9982-04D878074C25}"/>
            </c:ext>
          </c:extLst>
        </c:ser>
        <c:ser>
          <c:idx val="4"/>
          <c:order val="4"/>
          <c:tx>
            <c:strRef>
              <c:f>'Team wise graphs'!$A$8:$B$8</c:f>
              <c:strCache>
                <c:ptCount val="2"/>
                <c:pt idx="0">
                  <c:v>5</c:v>
                </c:pt>
                <c:pt idx="1">
                  <c:v>RCB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'Team wise graphs'!$C$3:$E$3</c:f>
              <c:strCache>
                <c:ptCount val="3"/>
                <c:pt idx="0">
                  <c:v>SDI 22</c:v>
                </c:pt>
                <c:pt idx="1">
                  <c:v>SDI 23</c:v>
                </c:pt>
                <c:pt idx="2">
                  <c:v>SDI 24</c:v>
                </c:pt>
              </c:strCache>
            </c:strRef>
          </c:cat>
          <c:val>
            <c:numRef>
              <c:f>'Team wise graphs'!$C$8:$E$8</c:f>
              <c:numCache>
                <c:formatCode>0%</c:formatCode>
                <c:ptCount val="3"/>
                <c:pt idx="0">
                  <c:v>0.52712441741625982</c:v>
                </c:pt>
                <c:pt idx="1">
                  <c:v>0.56580672163590473</c:v>
                </c:pt>
                <c:pt idx="2">
                  <c:v>0.55592934903600233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05-42B3-9982-04D878074C25}"/>
            </c:ext>
          </c:extLst>
        </c:ser>
        <c:ser>
          <c:idx val="5"/>
          <c:order val="5"/>
          <c:tx>
            <c:strRef>
              <c:f>'Team wise graphs'!$A$9:$B$9</c:f>
              <c:strCache>
                <c:ptCount val="2"/>
                <c:pt idx="0">
                  <c:v>6</c:v>
                </c:pt>
                <c:pt idx="1">
                  <c:v>PBKS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'Team wise graphs'!$C$3:$E$3</c:f>
              <c:strCache>
                <c:ptCount val="3"/>
                <c:pt idx="0">
                  <c:v>SDI 22</c:v>
                </c:pt>
                <c:pt idx="1">
                  <c:v>SDI 23</c:v>
                </c:pt>
                <c:pt idx="2">
                  <c:v>SDI 24</c:v>
                </c:pt>
              </c:strCache>
            </c:strRef>
          </c:cat>
          <c:val>
            <c:numRef>
              <c:f>'Team wise graphs'!$C$9:$E$9</c:f>
              <c:numCache>
                <c:formatCode>0%</c:formatCode>
                <c:ptCount val="3"/>
                <c:pt idx="0">
                  <c:v>0.67456409850755639</c:v>
                </c:pt>
                <c:pt idx="1">
                  <c:v>0.41758063349161012</c:v>
                </c:pt>
                <c:pt idx="2">
                  <c:v>0.34427770015389153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05-42B3-9982-04D878074C25}"/>
            </c:ext>
          </c:extLst>
        </c:ser>
        <c:ser>
          <c:idx val="6"/>
          <c:order val="6"/>
          <c:tx>
            <c:strRef>
              <c:f>'Team wise graphs'!$A$10:$B$10</c:f>
              <c:strCache>
                <c:ptCount val="2"/>
                <c:pt idx="0">
                  <c:v>7</c:v>
                </c:pt>
                <c:pt idx="1">
                  <c:v>CSK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'Team wise graphs'!$C$3:$E$3</c:f>
              <c:strCache>
                <c:ptCount val="3"/>
                <c:pt idx="0">
                  <c:v>SDI 22</c:v>
                </c:pt>
                <c:pt idx="1">
                  <c:v>SDI 23</c:v>
                </c:pt>
                <c:pt idx="2">
                  <c:v>SDI 24</c:v>
                </c:pt>
              </c:strCache>
            </c:strRef>
          </c:cat>
          <c:val>
            <c:numRef>
              <c:f>'Team wise graphs'!$C$10:$E$10</c:f>
              <c:numCache>
                <c:formatCode>0%</c:formatCode>
                <c:ptCount val="3"/>
                <c:pt idx="0">
                  <c:v>0.13581502097964193</c:v>
                </c:pt>
                <c:pt idx="1">
                  <c:v>0.73245562689263777</c:v>
                </c:pt>
                <c:pt idx="2">
                  <c:v>0.55832889562364607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05-42B3-9982-04D878074C25}"/>
            </c:ext>
          </c:extLst>
        </c:ser>
        <c:ser>
          <c:idx val="7"/>
          <c:order val="7"/>
          <c:tx>
            <c:strRef>
              <c:f>'Team wise graphs'!$A$11:$B$11</c:f>
              <c:strCache>
                <c:ptCount val="2"/>
                <c:pt idx="0">
                  <c:v>8</c:v>
                </c:pt>
                <c:pt idx="1">
                  <c:v>DC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'Team wise graphs'!$C$3:$E$3</c:f>
              <c:strCache>
                <c:ptCount val="3"/>
                <c:pt idx="0">
                  <c:v>SDI 22</c:v>
                </c:pt>
                <c:pt idx="1">
                  <c:v>SDI 23</c:v>
                </c:pt>
                <c:pt idx="2">
                  <c:v>SDI 24</c:v>
                </c:pt>
              </c:strCache>
            </c:strRef>
          </c:cat>
          <c:val>
            <c:numRef>
              <c:f>'Team wise graphs'!$C$11:$E$11</c:f>
              <c:numCache>
                <c:formatCode>0%</c:formatCode>
                <c:ptCount val="3"/>
                <c:pt idx="0">
                  <c:v>0.71543173904883228</c:v>
                </c:pt>
                <c:pt idx="1">
                  <c:v>0.24832136602902416</c:v>
                </c:pt>
                <c:pt idx="2">
                  <c:v>0.38528561071791873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05-42B3-9982-04D878074C25}"/>
            </c:ext>
          </c:extLst>
        </c:ser>
        <c:ser>
          <c:idx val="8"/>
          <c:order val="8"/>
          <c:tx>
            <c:strRef>
              <c:f>'Team wise graphs'!$A$12:$B$12</c:f>
              <c:strCache>
                <c:ptCount val="2"/>
                <c:pt idx="0">
                  <c:v>9</c:v>
                </c:pt>
                <c:pt idx="1">
                  <c:v>SRH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'Team wise graphs'!$C$3:$E$3</c:f>
              <c:strCache>
                <c:ptCount val="3"/>
                <c:pt idx="0">
                  <c:v>SDI 22</c:v>
                </c:pt>
                <c:pt idx="1">
                  <c:v>SDI 23</c:v>
                </c:pt>
                <c:pt idx="2">
                  <c:v>SDI 24</c:v>
                </c:pt>
              </c:strCache>
            </c:strRef>
          </c:cat>
          <c:val>
            <c:numRef>
              <c:f>'Team wise graphs'!$C$12:$E$12</c:f>
              <c:numCache>
                <c:formatCode>0%</c:formatCode>
                <c:ptCount val="3"/>
                <c:pt idx="0">
                  <c:v>0.43579156057082685</c:v>
                </c:pt>
                <c:pt idx="1">
                  <c:v>0.28087892513290214</c:v>
                </c:pt>
                <c:pt idx="2">
                  <c:v>0.56942905951500034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05-42B3-9982-04D878074C25}"/>
            </c:ext>
          </c:extLst>
        </c:ser>
        <c:ser>
          <c:idx val="9"/>
          <c:order val="9"/>
          <c:tx>
            <c:strRef>
              <c:f>'Team wise graphs'!$A$13:$B$13</c:f>
              <c:strCache>
                <c:ptCount val="2"/>
                <c:pt idx="0">
                  <c:v>10</c:v>
                </c:pt>
                <c:pt idx="1">
                  <c:v>MI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'Team wise graphs'!$C$3:$E$3</c:f>
              <c:strCache>
                <c:ptCount val="3"/>
                <c:pt idx="0">
                  <c:v>SDI 22</c:v>
                </c:pt>
                <c:pt idx="1">
                  <c:v>SDI 23</c:v>
                </c:pt>
                <c:pt idx="2">
                  <c:v>SDI 24</c:v>
                </c:pt>
              </c:strCache>
            </c:strRef>
          </c:cat>
          <c:val>
            <c:numRef>
              <c:f>'Team wise graphs'!$C$13:$E$13</c:f>
              <c:numCache>
                <c:formatCode>0%</c:formatCode>
                <c:ptCount val="3"/>
                <c:pt idx="0">
                  <c:v>0.11682456458068909</c:v>
                </c:pt>
                <c:pt idx="1">
                  <c:v>0.54770905517467894</c:v>
                </c:pt>
                <c:pt idx="2">
                  <c:v>0.31670892975373499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505-42B3-9982-04D878074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003344"/>
        <c:axId val="781008624"/>
      </c:lineChart>
      <c:catAx>
        <c:axId val="78100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08624"/>
        <c:crosses val="autoZero"/>
        <c:auto val="1"/>
        <c:lblAlgn val="ctr"/>
        <c:lblOffset val="100"/>
        <c:noMultiLvlLbl val="0"/>
      </c:catAx>
      <c:valAx>
        <c:axId val="7810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00334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568967254355465"/>
          <c:y val="0.86967551543280264"/>
          <c:w val="0.806079228447249"/>
          <c:h val="0.109881554413875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Season</a:t>
            </a:r>
            <a:r>
              <a:rPr lang="en-IN" baseline="0"/>
              <a:t>-wise Win Percentage Analysis</a:t>
            </a:r>
            <a:endParaRPr lang="en-IN"/>
          </a:p>
        </c:rich>
      </c:tx>
      <c:layout>
        <c:manualLayout>
          <c:xMode val="edge"/>
          <c:yMode val="edge"/>
          <c:x val="0.212069335083114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6.2112892978842191E-2"/>
          <c:y val="0.12561752988047808"/>
          <c:w val="0.90668804194751229"/>
          <c:h val="0.65183118343973234"/>
        </c:manualLayout>
      </c:layout>
      <c:lineChart>
        <c:grouping val="standard"/>
        <c:varyColors val="0"/>
        <c:ser>
          <c:idx val="0"/>
          <c:order val="0"/>
          <c:tx>
            <c:strRef>
              <c:f>'Team wise graphs'!$B$15</c:f>
              <c:strCache>
                <c:ptCount val="1"/>
                <c:pt idx="0">
                  <c:v>GT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'Team wise graphs'!$C$2:$E$2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'Team wise graphs'!$C$15:$E$15</c:f>
              <c:numCache>
                <c:formatCode>0%</c:formatCode>
                <c:ptCount val="3"/>
                <c:pt idx="0">
                  <c:v>0.7142857142857143</c:v>
                </c:pt>
                <c:pt idx="1">
                  <c:v>0.7142857142857143</c:v>
                </c:pt>
                <c:pt idx="2">
                  <c:v>0.35714285714285715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9-4B4E-A355-B61429C747FD}"/>
            </c:ext>
          </c:extLst>
        </c:ser>
        <c:ser>
          <c:idx val="1"/>
          <c:order val="1"/>
          <c:tx>
            <c:strRef>
              <c:f>'Team wise graphs'!$B$16</c:f>
              <c:strCache>
                <c:ptCount val="1"/>
                <c:pt idx="0">
                  <c:v>LSG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'Team wise graphs'!$C$2:$E$2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'Team wise graphs'!$C$16:$E$16</c:f>
              <c:numCache>
                <c:formatCode>0%</c:formatCode>
                <c:ptCount val="3"/>
                <c:pt idx="0">
                  <c:v>0.6428571428571429</c:v>
                </c:pt>
                <c:pt idx="1">
                  <c:v>0.5714285714285714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19-4B4E-A355-B61429C747FD}"/>
            </c:ext>
          </c:extLst>
        </c:ser>
        <c:ser>
          <c:idx val="2"/>
          <c:order val="2"/>
          <c:tx>
            <c:strRef>
              <c:f>'Team wise graphs'!$B$17</c:f>
              <c:strCache>
                <c:ptCount val="1"/>
                <c:pt idx="0">
                  <c:v>RR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'Team wise graphs'!$C$2:$E$2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'Team wise graphs'!$C$17:$E$17</c:f>
              <c:numCache>
                <c:formatCode>0%</c:formatCode>
                <c:ptCount val="3"/>
                <c:pt idx="0">
                  <c:v>0.6428571428571429</c:v>
                </c:pt>
                <c:pt idx="1">
                  <c:v>0.5</c:v>
                </c:pt>
                <c:pt idx="2">
                  <c:v>0.5714285714285714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19-4B4E-A355-B61429C747FD}"/>
            </c:ext>
          </c:extLst>
        </c:ser>
        <c:ser>
          <c:idx val="3"/>
          <c:order val="3"/>
          <c:tx>
            <c:strRef>
              <c:f>'Team wise graphs'!$B$18</c:f>
              <c:strCache>
                <c:ptCount val="1"/>
                <c:pt idx="0">
                  <c:v>RCB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'Team wise graphs'!$C$2:$E$2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'Team wise graphs'!$C$18:$E$18</c:f>
              <c:numCache>
                <c:formatCode>0%</c:formatCode>
                <c:ptCount val="3"/>
                <c:pt idx="0">
                  <c:v>0.5714285714285714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19-4B4E-A355-B61429C747FD}"/>
            </c:ext>
          </c:extLst>
        </c:ser>
        <c:ser>
          <c:idx val="4"/>
          <c:order val="4"/>
          <c:tx>
            <c:strRef>
              <c:f>'Team wise graphs'!$B$19</c:f>
              <c:strCache>
                <c:ptCount val="1"/>
                <c:pt idx="0">
                  <c:v>KKR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'Team wise graphs'!$C$2:$E$2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'Team wise graphs'!$C$19:$E$19</c:f>
              <c:numCache>
                <c:formatCode>0%</c:formatCode>
                <c:ptCount val="3"/>
                <c:pt idx="0">
                  <c:v>0.42857142857142855</c:v>
                </c:pt>
                <c:pt idx="1">
                  <c:v>0.42857142857142855</c:v>
                </c:pt>
                <c:pt idx="2">
                  <c:v>0.6428571428571429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19-4B4E-A355-B61429C747FD}"/>
            </c:ext>
          </c:extLst>
        </c:ser>
        <c:ser>
          <c:idx val="5"/>
          <c:order val="5"/>
          <c:tx>
            <c:strRef>
              <c:f>'Team wise graphs'!$B$20</c:f>
              <c:strCache>
                <c:ptCount val="1"/>
                <c:pt idx="0">
                  <c:v>DC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'Team wise graphs'!$C$2:$E$2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'Team wise graphs'!$C$20:$E$20</c:f>
              <c:numCache>
                <c:formatCode>0%</c:formatCode>
                <c:ptCount val="3"/>
                <c:pt idx="0">
                  <c:v>0.5</c:v>
                </c:pt>
                <c:pt idx="1">
                  <c:v>0.35714285714285715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19-4B4E-A355-B61429C747FD}"/>
            </c:ext>
          </c:extLst>
        </c:ser>
        <c:ser>
          <c:idx val="6"/>
          <c:order val="6"/>
          <c:tx>
            <c:strRef>
              <c:f>'Team wise graphs'!$B$21</c:f>
              <c:strCache>
                <c:ptCount val="1"/>
                <c:pt idx="0">
                  <c:v>CSK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'Team wise graphs'!$C$2:$E$2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'Team wise graphs'!$C$21:$E$21</c:f>
              <c:numCache>
                <c:formatCode>0%</c:formatCode>
                <c:ptCount val="3"/>
                <c:pt idx="0">
                  <c:v>0.2857142857142857</c:v>
                </c:pt>
                <c:pt idx="1">
                  <c:v>0.5714285714285714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19-4B4E-A355-B61429C747FD}"/>
            </c:ext>
          </c:extLst>
        </c:ser>
        <c:ser>
          <c:idx val="7"/>
          <c:order val="7"/>
          <c:tx>
            <c:strRef>
              <c:f>'Team wise graphs'!$B$22</c:f>
              <c:strCache>
                <c:ptCount val="1"/>
                <c:pt idx="0">
                  <c:v>PBKS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'Team wise graphs'!$C$2:$E$2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'Team wise graphs'!$C$22:$E$22</c:f>
              <c:numCache>
                <c:formatCode>0%</c:formatCode>
                <c:ptCount val="3"/>
                <c:pt idx="0">
                  <c:v>0.5</c:v>
                </c:pt>
                <c:pt idx="1">
                  <c:v>0.42857142857142855</c:v>
                </c:pt>
                <c:pt idx="2">
                  <c:v>0.35714285714285715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19-4B4E-A355-B61429C747FD}"/>
            </c:ext>
          </c:extLst>
        </c:ser>
        <c:ser>
          <c:idx val="8"/>
          <c:order val="8"/>
          <c:tx>
            <c:strRef>
              <c:f>'Team wise graphs'!$B$23</c:f>
              <c:strCache>
                <c:ptCount val="1"/>
                <c:pt idx="0">
                  <c:v>SRH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'Team wise graphs'!$C$2:$E$2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'Team wise graphs'!$C$23:$E$23</c:f>
              <c:numCache>
                <c:formatCode>0%</c:formatCode>
                <c:ptCount val="3"/>
                <c:pt idx="0">
                  <c:v>0.42857142857142855</c:v>
                </c:pt>
                <c:pt idx="1">
                  <c:v>0.2857142857142857</c:v>
                </c:pt>
                <c:pt idx="2">
                  <c:v>0.5714285714285714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19-4B4E-A355-B61429C747FD}"/>
            </c:ext>
          </c:extLst>
        </c:ser>
        <c:ser>
          <c:idx val="9"/>
          <c:order val="9"/>
          <c:tx>
            <c:strRef>
              <c:f>'Team wise graphs'!$B$24</c:f>
              <c:strCache>
                <c:ptCount val="1"/>
                <c:pt idx="0">
                  <c:v>MI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'Team wise graphs'!$C$2:$E$2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'Team wise graphs'!$C$24:$E$24</c:f>
              <c:numCache>
                <c:formatCode>0%</c:formatCode>
                <c:ptCount val="3"/>
                <c:pt idx="0">
                  <c:v>0.2857142857142857</c:v>
                </c:pt>
                <c:pt idx="1">
                  <c:v>0.5714285714285714</c:v>
                </c:pt>
                <c:pt idx="2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719-4B4E-A355-B61429C74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167216"/>
        <c:axId val="539172496"/>
      </c:lineChart>
      <c:catAx>
        <c:axId val="53916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72496"/>
        <c:crossesAt val="0"/>
        <c:auto val="1"/>
        <c:lblAlgn val="ctr"/>
        <c:lblOffset val="100"/>
        <c:noMultiLvlLbl val="0"/>
      </c:catAx>
      <c:valAx>
        <c:axId val="539172496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672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3240930901277798E-2"/>
          <c:y val="0.84681996423753803"/>
          <c:w val="0.85493219597550296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26</xdr:row>
      <xdr:rowOff>101600</xdr:rowOff>
    </xdr:from>
    <xdr:to>
      <xdr:col>24</xdr:col>
      <xdr:colOff>612776</xdr:colOff>
      <xdr:row>45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A09AC8-2144-48F2-90B4-3639EFFCA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47</xdr:row>
      <xdr:rowOff>0</xdr:rowOff>
    </xdr:from>
    <xdr:to>
      <xdr:col>24</xdr:col>
      <xdr:colOff>939800</xdr:colOff>
      <xdr:row>66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82B5A6-A28A-40B2-945D-24D44EB11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0</xdr:row>
      <xdr:rowOff>95250</xdr:rowOff>
    </xdr:from>
    <xdr:to>
      <xdr:col>13</xdr:col>
      <xdr:colOff>219075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6542A-616F-5262-5371-6D0F61F41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506741-BB59-4CE8-B722-0B43BC9A4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13</xdr:col>
      <xdr:colOff>304800</xdr:colOff>
      <xdr:row>47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AF0F6B-7ADE-40DF-BF04-59B22CD10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49</xdr:row>
      <xdr:rowOff>0</xdr:rowOff>
    </xdr:from>
    <xdr:to>
      <xdr:col>13</xdr:col>
      <xdr:colOff>304800</xdr:colOff>
      <xdr:row>63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47F97B-4365-4ABD-A128-EEA5E10BA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22</xdr:col>
      <xdr:colOff>66675</xdr:colOff>
      <xdr:row>17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C4BC41-295A-48C2-AD4F-9B40A21B1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2</xdr:row>
      <xdr:rowOff>69850</xdr:rowOff>
    </xdr:from>
    <xdr:to>
      <xdr:col>15</xdr:col>
      <xdr:colOff>69849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A1E6E6-657D-D83E-629C-093CC6851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482600</xdr:colOff>
      <xdr:row>23</xdr:row>
      <xdr:rowOff>127000</xdr:rowOff>
    </xdr:from>
    <xdr:to>
      <xdr:col>15</xdr:col>
      <xdr:colOff>31750</xdr:colOff>
      <xdr:row>42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774EC3-797F-2E23-8332-792302177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18BD-CC6C-492F-A4B9-1F808E473228}">
  <dimension ref="A1:W85"/>
  <sheetViews>
    <sheetView topLeftCell="A32" workbookViewId="0">
      <selection activeCell="Q14" sqref="Q14"/>
    </sheetView>
  </sheetViews>
  <sheetFormatPr defaultColWidth="8.6328125" defaultRowHeight="14.5" x14ac:dyDescent="0.35"/>
  <cols>
    <col min="1" max="1" width="4.90625" bestFit="1" customWidth="1"/>
    <col min="7" max="7" width="0" hidden="1" customWidth="1"/>
    <col min="9" max="10" width="0" hidden="1" customWidth="1"/>
    <col min="12" max="12" width="0" hidden="1" customWidth="1"/>
    <col min="16" max="16" width="9.08984375" customWidth="1"/>
    <col min="17" max="19" width="8.7265625" customWidth="1"/>
    <col min="20" max="22" width="9.08984375" customWidth="1"/>
    <col min="23" max="23" width="11.54296875" customWidth="1"/>
  </cols>
  <sheetData>
    <row r="1" spans="1:23" s="19" customFormat="1" ht="32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0" t="s">
        <v>6</v>
      </c>
      <c r="I1" s="20"/>
      <c r="J1" s="20" t="s">
        <v>7</v>
      </c>
      <c r="K1" s="20" t="s">
        <v>79</v>
      </c>
      <c r="L1" s="20"/>
      <c r="M1" s="20" t="s">
        <v>8</v>
      </c>
      <c r="N1" s="20" t="s">
        <v>80</v>
      </c>
      <c r="O1" s="20" t="s">
        <v>9</v>
      </c>
      <c r="P1" s="17" t="s">
        <v>81</v>
      </c>
      <c r="Q1" s="17" t="s">
        <v>85</v>
      </c>
      <c r="R1" s="17" t="s">
        <v>86</v>
      </c>
      <c r="S1" s="17" t="s">
        <v>82</v>
      </c>
      <c r="T1" s="17" t="s">
        <v>83</v>
      </c>
      <c r="U1" s="18" t="s">
        <v>84</v>
      </c>
      <c r="V1" s="20" t="s">
        <v>87</v>
      </c>
      <c r="W1" s="19" t="s">
        <v>92</v>
      </c>
    </row>
    <row r="2" spans="1:23" x14ac:dyDescent="0.35">
      <c r="A2" s="1">
        <v>1</v>
      </c>
      <c r="B2" s="1" t="s">
        <v>10</v>
      </c>
      <c r="C2" s="1">
        <v>14</v>
      </c>
      <c r="D2" s="1">
        <v>10</v>
      </c>
      <c r="E2" s="1">
        <v>4</v>
      </c>
      <c r="F2" s="1">
        <v>0</v>
      </c>
      <c r="G2" s="1">
        <v>0.316</v>
      </c>
      <c r="H2" s="3">
        <f>J2/K2 - M2/N2</f>
        <v>0.30826705372773056</v>
      </c>
      <c r="I2" s="1" t="s">
        <v>40</v>
      </c>
      <c r="J2" s="1">
        <v>2339</v>
      </c>
      <c r="K2" s="1">
        <v>278.10000000000002</v>
      </c>
      <c r="L2" s="1" t="s">
        <v>41</v>
      </c>
      <c r="M2" s="1">
        <v>2216</v>
      </c>
      <c r="N2" s="1">
        <v>273.5</v>
      </c>
      <c r="O2" s="1">
        <f t="shared" ref="O2:O11" si="0">D2*2 + F2*1</f>
        <v>20</v>
      </c>
      <c r="P2" s="8">
        <f>D2/C2</f>
        <v>0.7142857142857143</v>
      </c>
      <c r="Q2" s="22">
        <f>J2/K2</f>
        <v>8.410643653362099</v>
      </c>
      <c r="R2" s="22">
        <f>M2/N2</f>
        <v>8.1023765996343684</v>
      </c>
      <c r="S2" s="8">
        <f>(H2-MIN($H$2:$H$11))/(MAX($H$2:$H$11)-MIN($H$2:$H$11))</f>
        <v>1</v>
      </c>
      <c r="T2" s="23">
        <f>(Q2 - MIN($Q$2:$Q$11)) / (MAX($Q$2:$Q$11) - MIN($Q$2:$Q$11))</f>
        <v>0.41632766251325753</v>
      </c>
      <c r="U2" s="23">
        <f>(MAX($R$2:$R$11) - R2) / (MAX($R$2:$R$11) - MIN($R$2:$R$11))</f>
        <v>1</v>
      </c>
      <c r="V2" s="9">
        <f>0.4*P2 + 0.25*S2 + 0.2*T2 + 0.15*U2</f>
        <v>0.76897981821693728</v>
      </c>
      <c r="W2" s="6">
        <f>AVERAGE(T2,U2)</f>
        <v>0.70816383125662874</v>
      </c>
    </row>
    <row r="3" spans="1:23" x14ac:dyDescent="0.35">
      <c r="A3" s="1">
        <v>2</v>
      </c>
      <c r="B3" s="1" t="s">
        <v>22</v>
      </c>
      <c r="C3" s="1">
        <v>14</v>
      </c>
      <c r="D3" s="1">
        <v>9</v>
      </c>
      <c r="E3" s="1">
        <v>5</v>
      </c>
      <c r="F3" s="1">
        <v>0</v>
      </c>
      <c r="G3" s="1">
        <v>0.29799999999999999</v>
      </c>
      <c r="H3" s="3">
        <f>J3/K3 - M3/N3</f>
        <v>0.29163958210911112</v>
      </c>
      <c r="I3" s="1" t="s">
        <v>42</v>
      </c>
      <c r="J3" s="1">
        <v>2464</v>
      </c>
      <c r="K3" s="1">
        <v>279.2</v>
      </c>
      <c r="L3" s="1" t="s">
        <v>43</v>
      </c>
      <c r="M3" s="1">
        <v>2351</v>
      </c>
      <c r="N3" s="1">
        <v>275.5</v>
      </c>
      <c r="O3" s="1">
        <f t="shared" si="0"/>
        <v>18</v>
      </c>
      <c r="P3" s="8">
        <f>D3/C3</f>
        <v>0.6428571428571429</v>
      </c>
      <c r="Q3" s="22">
        <f t="shared" ref="Q3:Q11" si="1">J3/K3</f>
        <v>8.8252148997134672</v>
      </c>
      <c r="R3" s="22">
        <f t="shared" ref="R3:R11" si="2">M3/N3</f>
        <v>8.5335753176043561</v>
      </c>
      <c r="S3" s="8">
        <f t="shared" ref="S3:S11" si="3">(H3-MIN($H$2:$H$11))/(MAX($H$2:$H$11)-MIN($H$2:$H$11))</f>
        <v>0.98928042151393203</v>
      </c>
      <c r="T3" s="23">
        <f t="shared" ref="T3:T11" si="4">(Q3 - MIN($Q$2:$Q$11)) / (MAX($Q$2:$Q$11) - MIN($Q$2:$Q$11))</f>
        <v>1</v>
      </c>
      <c r="U3" s="23">
        <f t="shared" ref="U3:U11" si="5">(MAX($R$2:$R$11) - R3) / (MAX($R$2:$R$11) - MIN($R$2:$R$11))</f>
        <v>0.66234418540941831</v>
      </c>
      <c r="V3" s="9">
        <f t="shared" ref="V3:V11" si="6">0.4*P3 + 0.25*S3 + 0.2*T3 + 0.15*U3</f>
        <v>0.80381459033275282</v>
      </c>
      <c r="W3" s="6">
        <f t="shared" ref="W3:W11" si="7">AVERAGE(T3,U3)</f>
        <v>0.83117209270470915</v>
      </c>
    </row>
    <row r="4" spans="1:23" x14ac:dyDescent="0.35">
      <c r="A4" s="1">
        <v>3</v>
      </c>
      <c r="B4" s="1" t="s">
        <v>16</v>
      </c>
      <c r="C4" s="1">
        <v>14</v>
      </c>
      <c r="D4" s="1">
        <v>9</v>
      </c>
      <c r="E4" s="1">
        <v>5</v>
      </c>
      <c r="F4" s="1">
        <v>0</v>
      </c>
      <c r="G4" s="1">
        <v>0.251</v>
      </c>
      <c r="H4" s="3">
        <f t="shared" ref="H4:H10" si="8">J4/K4 - M4/N4</f>
        <v>0.2452804250906695</v>
      </c>
      <c r="I4" s="1" t="s">
        <v>44</v>
      </c>
      <c r="J4" s="1">
        <v>2355</v>
      </c>
      <c r="K4" s="1">
        <v>279.10000000000002</v>
      </c>
      <c r="L4" s="1" t="s">
        <v>45</v>
      </c>
      <c r="M4" s="1">
        <v>2289</v>
      </c>
      <c r="N4" s="1">
        <v>279.39999999999998</v>
      </c>
      <c r="O4" s="1">
        <f t="shared" si="0"/>
        <v>18</v>
      </c>
      <c r="P4" s="8">
        <f t="shared" ref="P3:P11" si="9">D4/C4</f>
        <v>0.6428571428571429</v>
      </c>
      <c r="Q4" s="22">
        <f t="shared" si="1"/>
        <v>8.4378359011107129</v>
      </c>
      <c r="R4" s="22">
        <f t="shared" si="2"/>
        <v>8.1925554760200434</v>
      </c>
      <c r="S4" s="8">
        <f t="shared" si="3"/>
        <v>0.95939309807681694</v>
      </c>
      <c r="T4" s="23">
        <f t="shared" si="4"/>
        <v>0.45461146281208581</v>
      </c>
      <c r="U4" s="23">
        <f t="shared" si="5"/>
        <v>0.92938424745736881</v>
      </c>
      <c r="V4" s="9">
        <f t="shared" si="6"/>
        <v>0.72732106134308383</v>
      </c>
      <c r="W4" s="6">
        <f t="shared" si="7"/>
        <v>0.69199785513472734</v>
      </c>
    </row>
    <row r="5" spans="1:23" x14ac:dyDescent="0.35">
      <c r="A5" s="1">
        <v>4</v>
      </c>
      <c r="B5" s="1" t="s">
        <v>25</v>
      </c>
      <c r="C5" s="1">
        <v>14</v>
      </c>
      <c r="D5" s="1">
        <v>8</v>
      </c>
      <c r="E5" s="1">
        <v>6</v>
      </c>
      <c r="F5" s="1">
        <v>0</v>
      </c>
      <c r="G5" s="1">
        <v>-0.253</v>
      </c>
      <c r="H5" s="3">
        <f t="shared" si="8"/>
        <v>-0.25137505246183878</v>
      </c>
      <c r="I5" s="1" t="s">
        <v>46</v>
      </c>
      <c r="J5" s="1">
        <v>2268</v>
      </c>
      <c r="K5" s="1">
        <v>275.39999999999998</v>
      </c>
      <c r="L5" s="1" t="s">
        <v>47</v>
      </c>
      <c r="M5" s="1">
        <v>2260</v>
      </c>
      <c r="N5" s="1">
        <v>266.3</v>
      </c>
      <c r="O5" s="1">
        <f t="shared" si="0"/>
        <v>16</v>
      </c>
      <c r="P5" s="8">
        <f t="shared" si="9"/>
        <v>0.5714285714285714</v>
      </c>
      <c r="Q5" s="22">
        <f t="shared" si="1"/>
        <v>8.2352941176470598</v>
      </c>
      <c r="R5" s="22">
        <f t="shared" si="2"/>
        <v>8.4866691701088985</v>
      </c>
      <c r="S5" s="8">
        <f>(H5-MIN($H$2:$H$11))/(MAX($H$2:$H$11)-MIN($H$2:$H$11))</f>
        <v>0.63920386580665511</v>
      </c>
      <c r="T5" s="23">
        <f t="shared" si="4"/>
        <v>0.16945411716064898</v>
      </c>
      <c r="U5" s="23">
        <f t="shared" si="5"/>
        <v>0.69907465974025118</v>
      </c>
      <c r="V5" s="9">
        <f t="shared" si="6"/>
        <v>0.52712441741625982</v>
      </c>
      <c r="W5" s="6">
        <f t="shared" si="7"/>
        <v>0.43426438845045007</v>
      </c>
    </row>
    <row r="6" spans="1:23" x14ac:dyDescent="0.35">
      <c r="A6" s="1">
        <v>5</v>
      </c>
      <c r="B6" s="1" t="s">
        <v>34</v>
      </c>
      <c r="C6" s="1">
        <v>14</v>
      </c>
      <c r="D6" s="1">
        <v>7</v>
      </c>
      <c r="E6" s="1">
        <v>7</v>
      </c>
      <c r="F6" s="1">
        <v>0</v>
      </c>
      <c r="G6" s="1">
        <v>0.20399999999999999</v>
      </c>
      <c r="H6" s="3">
        <f t="shared" si="8"/>
        <v>0.193929617580757</v>
      </c>
      <c r="I6" s="1" t="s">
        <v>48</v>
      </c>
      <c r="J6" s="1">
        <v>2341</v>
      </c>
      <c r="K6" s="1">
        <v>266</v>
      </c>
      <c r="L6" s="1" t="s">
        <v>49</v>
      </c>
      <c r="M6" s="1">
        <v>2397</v>
      </c>
      <c r="N6" s="1">
        <v>278.5</v>
      </c>
      <c r="O6" s="1">
        <f t="shared" si="0"/>
        <v>14</v>
      </c>
      <c r="P6" s="8">
        <f t="shared" si="9"/>
        <v>0.5</v>
      </c>
      <c r="Q6" s="22">
        <f t="shared" si="1"/>
        <v>8.8007518796992485</v>
      </c>
      <c r="R6" s="22">
        <f t="shared" si="2"/>
        <v>8.6068222621184916</v>
      </c>
      <c r="S6" s="8">
        <f t="shared" si="3"/>
        <v>0.92628770333904631</v>
      </c>
      <c r="T6" s="23">
        <f t="shared" si="4"/>
        <v>0.96555866283697267</v>
      </c>
      <c r="U6" s="23">
        <f t="shared" si="5"/>
        <v>0.60498720431117448</v>
      </c>
      <c r="V6" s="9">
        <f t="shared" si="6"/>
        <v>0.71543173904883228</v>
      </c>
      <c r="W6" s="6">
        <f t="shared" si="7"/>
        <v>0.78527293357407357</v>
      </c>
    </row>
    <row r="7" spans="1:23" x14ac:dyDescent="0.35">
      <c r="A7" s="1">
        <v>6</v>
      </c>
      <c r="B7" s="1" t="s">
        <v>31</v>
      </c>
      <c r="C7" s="1">
        <v>14</v>
      </c>
      <c r="D7" s="1">
        <v>7</v>
      </c>
      <c r="E7" s="1">
        <v>7</v>
      </c>
      <c r="F7" s="1">
        <v>0</v>
      </c>
      <c r="G7" s="1">
        <v>-0.126</v>
      </c>
      <c r="H7" s="3">
        <f t="shared" si="8"/>
        <v>0.12158358588546569</v>
      </c>
      <c r="I7" s="1" t="s">
        <v>50</v>
      </c>
      <c r="J7" s="1">
        <v>2343</v>
      </c>
      <c r="K7" s="1">
        <v>270.10000000000002</v>
      </c>
      <c r="L7" s="1" t="s">
        <v>51</v>
      </c>
      <c r="M7" s="1">
        <v>2252</v>
      </c>
      <c r="N7" s="1">
        <v>263.3</v>
      </c>
      <c r="O7" s="1">
        <f t="shared" si="0"/>
        <v>14</v>
      </c>
      <c r="P7" s="8">
        <f t="shared" si="9"/>
        <v>0.5</v>
      </c>
      <c r="Q7" s="22">
        <f t="shared" si="1"/>
        <v>8.6745649759348389</v>
      </c>
      <c r="R7" s="22">
        <f t="shared" si="2"/>
        <v>8.5529813900493732</v>
      </c>
      <c r="S7" s="8">
        <f t="shared" si="3"/>
        <v>0.87964688008574987</v>
      </c>
      <c r="T7" s="23">
        <f t="shared" si="4"/>
        <v>0.78790088813938952</v>
      </c>
      <c r="U7" s="23">
        <f t="shared" si="5"/>
        <v>0.64714800572160625</v>
      </c>
      <c r="V7" s="9">
        <f t="shared" si="6"/>
        <v>0.67456409850755639</v>
      </c>
      <c r="W7" s="6">
        <f t="shared" si="7"/>
        <v>0.71752444693049788</v>
      </c>
    </row>
    <row r="8" spans="1:23" x14ac:dyDescent="0.35">
      <c r="A8" s="1">
        <v>7</v>
      </c>
      <c r="B8" s="1" t="s">
        <v>28</v>
      </c>
      <c r="C8" s="1">
        <v>14</v>
      </c>
      <c r="D8" s="1">
        <v>6</v>
      </c>
      <c r="E8" s="1">
        <v>8</v>
      </c>
      <c r="F8" s="1">
        <v>0</v>
      </c>
      <c r="G8" s="1">
        <v>0.14599999999999999</v>
      </c>
      <c r="H8" s="3">
        <f t="shared" si="8"/>
        <v>0.17965235122714773</v>
      </c>
      <c r="I8" s="1" t="s">
        <v>52</v>
      </c>
      <c r="J8" s="1">
        <v>2232</v>
      </c>
      <c r="K8" s="1">
        <v>268.10000000000002</v>
      </c>
      <c r="L8" s="1" t="s">
        <v>53</v>
      </c>
      <c r="M8" s="1">
        <v>2249</v>
      </c>
      <c r="N8" s="1">
        <v>276.10000000000002</v>
      </c>
      <c r="O8" s="1">
        <f t="shared" si="0"/>
        <v>12</v>
      </c>
      <c r="P8" s="8">
        <f t="shared" si="9"/>
        <v>0.42857142857142855</v>
      </c>
      <c r="Q8" s="22">
        <f t="shared" si="1"/>
        <v>8.3252517717269665</v>
      </c>
      <c r="R8" s="22">
        <f t="shared" si="2"/>
        <v>8.1455994204998188</v>
      </c>
      <c r="S8" s="8">
        <f t="shared" si="3"/>
        <v>0.9170832806370024</v>
      </c>
      <c r="T8" s="23">
        <f t="shared" si="4"/>
        <v>0.29610495147138621</v>
      </c>
      <c r="U8" s="23">
        <f t="shared" si="5"/>
        <v>0.96615380292192277</v>
      </c>
      <c r="V8" s="9">
        <f t="shared" si="6"/>
        <v>0.60484345232038772</v>
      </c>
      <c r="W8" s="6">
        <f t="shared" si="7"/>
        <v>0.63112937719665452</v>
      </c>
    </row>
    <row r="9" spans="1:23" x14ac:dyDescent="0.35">
      <c r="A9" s="1">
        <v>8</v>
      </c>
      <c r="B9" s="1" t="s">
        <v>37</v>
      </c>
      <c r="C9" s="1">
        <v>14</v>
      </c>
      <c r="D9" s="1">
        <v>6</v>
      </c>
      <c r="E9" s="1">
        <v>8</v>
      </c>
      <c r="F9" s="1">
        <v>0</v>
      </c>
      <c r="G9" s="1">
        <v>-0.379</v>
      </c>
      <c r="H9" s="3">
        <f t="shared" si="8"/>
        <v>-0.43816680686358822</v>
      </c>
      <c r="I9" s="1" t="s">
        <v>54</v>
      </c>
      <c r="J9" s="1">
        <v>2197</v>
      </c>
      <c r="K9" s="1">
        <v>263.3</v>
      </c>
      <c r="L9" s="1" t="s">
        <v>55</v>
      </c>
      <c r="M9" s="1">
        <v>2416</v>
      </c>
      <c r="N9" s="1">
        <v>275.10000000000002</v>
      </c>
      <c r="O9" s="1">
        <f t="shared" si="0"/>
        <v>12</v>
      </c>
      <c r="P9" s="8">
        <f t="shared" si="9"/>
        <v>0.42857142857142855</v>
      </c>
      <c r="Q9" s="22">
        <f t="shared" si="1"/>
        <v>8.3440941891378646</v>
      </c>
      <c r="R9" s="22">
        <f t="shared" si="2"/>
        <v>8.7822609960014528</v>
      </c>
      <c r="S9" s="8">
        <f t="shared" si="3"/>
        <v>0.51878093454044438</v>
      </c>
      <c r="T9" s="23">
        <f t="shared" si="4"/>
        <v>0.32263307639782801</v>
      </c>
      <c r="U9" s="23">
        <f t="shared" si="5"/>
        <v>0.4676076015171915</v>
      </c>
      <c r="V9" s="9">
        <f t="shared" si="6"/>
        <v>0.43579156057082685</v>
      </c>
      <c r="W9" s="6">
        <f t="shared" si="7"/>
        <v>0.39512033895750975</v>
      </c>
    </row>
    <row r="10" spans="1:23" x14ac:dyDescent="0.35">
      <c r="A10" s="1">
        <v>9</v>
      </c>
      <c r="B10" s="1" t="s">
        <v>13</v>
      </c>
      <c r="C10" s="1">
        <v>14</v>
      </c>
      <c r="D10" s="1">
        <v>4</v>
      </c>
      <c r="E10" s="1">
        <v>10</v>
      </c>
      <c r="F10" s="1">
        <v>0</v>
      </c>
      <c r="G10" s="1">
        <v>-0.20300000000000001</v>
      </c>
      <c r="H10" s="3">
        <f t="shared" si="8"/>
        <v>-1.2079842862451553</v>
      </c>
      <c r="I10" s="1" t="s">
        <v>56</v>
      </c>
      <c r="J10" s="1">
        <v>2288</v>
      </c>
      <c r="K10" s="1">
        <v>280</v>
      </c>
      <c r="L10" s="1" t="s">
        <v>57</v>
      </c>
      <c r="M10" s="1">
        <v>2524</v>
      </c>
      <c r="N10" s="1">
        <v>269.10000000000002</v>
      </c>
      <c r="O10" s="1">
        <f t="shared" si="0"/>
        <v>8</v>
      </c>
      <c r="P10" s="8">
        <f t="shared" si="9"/>
        <v>0.2857142857142857</v>
      </c>
      <c r="Q10" s="22">
        <f t="shared" si="1"/>
        <v>8.1714285714285708</v>
      </c>
      <c r="R10" s="22">
        <f t="shared" si="2"/>
        <v>9.3794128576737261</v>
      </c>
      <c r="S10" s="8">
        <f t="shared" si="3"/>
        <v>2.2486664464110694E-2</v>
      </c>
      <c r="T10" s="23">
        <f t="shared" si="4"/>
        <v>7.9538202889499948E-2</v>
      </c>
      <c r="U10" s="23">
        <f t="shared" si="5"/>
        <v>0</v>
      </c>
      <c r="V10" s="9">
        <f t="shared" si="6"/>
        <v>0.13581502097964193</v>
      </c>
      <c r="W10" s="6">
        <f t="shared" si="7"/>
        <v>3.9769101444749974E-2</v>
      </c>
    </row>
    <row r="11" spans="1:23" x14ac:dyDescent="0.35">
      <c r="A11" s="1">
        <v>10</v>
      </c>
      <c r="B11" s="1" t="s">
        <v>19</v>
      </c>
      <c r="C11" s="1">
        <v>14</v>
      </c>
      <c r="D11" s="1">
        <v>4</v>
      </c>
      <c r="E11" s="1">
        <v>10</v>
      </c>
      <c r="F11" s="1">
        <v>0</v>
      </c>
      <c r="G11" s="1">
        <v>-0.50600000000000001</v>
      </c>
      <c r="H11" s="3">
        <f>J11/K11 - M11/N11</f>
        <v>-1.2428640509355642</v>
      </c>
      <c r="I11" s="1" t="s">
        <v>58</v>
      </c>
      <c r="J11" s="1">
        <v>2217</v>
      </c>
      <c r="K11" s="1">
        <v>273.2</v>
      </c>
      <c r="L11" s="1" t="s">
        <v>59</v>
      </c>
      <c r="M11" s="1">
        <v>2550</v>
      </c>
      <c r="N11" s="1">
        <v>272.5</v>
      </c>
      <c r="O11" s="1">
        <f t="shared" si="0"/>
        <v>8</v>
      </c>
      <c r="P11" s="8">
        <f t="shared" si="9"/>
        <v>0.2857142857142857</v>
      </c>
      <c r="Q11" s="22">
        <f t="shared" si="1"/>
        <v>8.1149341142020504</v>
      </c>
      <c r="R11" s="22">
        <f t="shared" si="2"/>
        <v>9.3577981651376145</v>
      </c>
      <c r="S11" s="8">
        <f t="shared" si="3"/>
        <v>0</v>
      </c>
      <c r="T11" s="23">
        <f t="shared" si="4"/>
        <v>0</v>
      </c>
      <c r="U11" s="23">
        <f t="shared" si="5"/>
        <v>1.6925668633165334E-2</v>
      </c>
      <c r="V11" s="9">
        <f t="shared" si="6"/>
        <v>0.11682456458068909</v>
      </c>
      <c r="W11" s="6">
        <f t="shared" si="7"/>
        <v>8.462834316582667E-3</v>
      </c>
    </row>
    <row r="13" spans="1:23" ht="23.5" x14ac:dyDescent="0.55000000000000004">
      <c r="A13" s="93" t="s">
        <v>88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</row>
    <row r="14" spans="1:23" ht="15" thickBot="1" x14ac:dyDescent="0.4">
      <c r="M14" s="5"/>
      <c r="O14" s="5"/>
    </row>
    <row r="15" spans="1:23" x14ac:dyDescent="0.35">
      <c r="A15" s="87" t="s">
        <v>89</v>
      </c>
      <c r="B15" s="88"/>
      <c r="C15" s="89"/>
      <c r="E15" s="94" t="s">
        <v>90</v>
      </c>
      <c r="F15" s="95"/>
      <c r="G15" s="95"/>
      <c r="H15" s="96"/>
      <c r="M15" s="87" t="s">
        <v>83</v>
      </c>
      <c r="N15" s="88"/>
      <c r="O15" s="89"/>
      <c r="Q15" s="87" t="s">
        <v>84</v>
      </c>
      <c r="R15" s="88"/>
      <c r="S15" s="89"/>
    </row>
    <row r="16" spans="1:23" ht="15" thickBot="1" x14ac:dyDescent="0.4">
      <c r="A16" s="90"/>
      <c r="B16" s="91"/>
      <c r="C16" s="92"/>
      <c r="E16" s="97"/>
      <c r="F16" s="98"/>
      <c r="G16" s="98"/>
      <c r="H16" s="99"/>
      <c r="M16" s="90"/>
      <c r="N16" s="91"/>
      <c r="O16" s="92"/>
      <c r="Q16" s="90"/>
      <c r="R16" s="91"/>
      <c r="S16" s="92"/>
    </row>
    <row r="17" spans="1:19" x14ac:dyDescent="0.35">
      <c r="A17" s="37">
        <v>1</v>
      </c>
      <c r="B17" s="37" t="str">
        <f>B2</f>
        <v>GT</v>
      </c>
      <c r="C17" s="38">
        <f>P2</f>
        <v>0.7142857142857143</v>
      </c>
      <c r="E17" s="39">
        <v>1</v>
      </c>
      <c r="F17" t="str">
        <f t="shared" ref="F17:F26" si="10">INDEX($B$2:$B$11,
MATCH(LARGE($H$2:$H$11,ROW(A1)),$H$2:$H$11,0))</f>
        <v>GT</v>
      </c>
      <c r="H17" s="40">
        <f>INDEX($S$2:$S$11, MATCH(F17,$B$2:$B$11,0))</f>
        <v>1</v>
      </c>
      <c r="M17" s="37">
        <v>1</v>
      </c>
      <c r="N17" t="str">
        <f>INDEX($B$2:$B$11,
MATCH(LARGE($T$2:$T$11,ROW(A1)),$T$2:$T$11,0))</f>
        <v>RR</v>
      </c>
      <c r="O17" s="40">
        <f>INDEX($T$2:$T$11, MATCH(N17,$B$2:$B$11,0))</f>
        <v>1</v>
      </c>
      <c r="Q17" s="37">
        <v>1</v>
      </c>
      <c r="R17" t="str">
        <f>INDEX($B$2:$B$11,
MATCH(LARGE($U$2:$U$11,ROW(A1)),$U$2:$U$11,0))</f>
        <v>GT</v>
      </c>
      <c r="S17" s="47">
        <f>INDEX($U$2:$U$11, MATCH(R17,$B$2:$B$11,0))</f>
        <v>1</v>
      </c>
    </row>
    <row r="18" spans="1:19" x14ac:dyDescent="0.35">
      <c r="A18" s="37">
        <v>2</v>
      </c>
      <c r="B18" s="37" t="str">
        <f t="shared" ref="B18:B26" si="11">B3</f>
        <v>RR</v>
      </c>
      <c r="C18" s="38">
        <f t="shared" ref="C18:C26" si="12">P3</f>
        <v>0.6428571428571429</v>
      </c>
      <c r="E18" s="41">
        <v>2</v>
      </c>
      <c r="F18" t="str">
        <f t="shared" si="10"/>
        <v>RR</v>
      </c>
      <c r="H18" s="40">
        <f t="shared" ref="H18:H26" si="13">INDEX($S$2:$S$11, MATCH(F18,$B$2:$B$11,0))</f>
        <v>0.98928042151393203</v>
      </c>
      <c r="M18" s="37">
        <v>2</v>
      </c>
      <c r="N18" t="str">
        <f t="shared" ref="N18:N26" si="14">INDEX($B$2:$B$11,
MATCH(LARGE($T$2:$T$11,ROW(A2)),$T$2:$T$11,0))</f>
        <v>DC</v>
      </c>
      <c r="O18" s="40">
        <f t="shared" ref="O18:O26" si="15">INDEX($T$2:$T$11, MATCH(N18,$B$2:$B$11,0))</f>
        <v>0.96555866283697267</v>
      </c>
      <c r="Q18" s="37">
        <v>2</v>
      </c>
      <c r="R18" t="str">
        <f t="shared" ref="R18:R25" si="16">INDEX($B$2:$B$11,
MATCH(LARGE($U$2:$U$11,ROW(A2)),$U$2:$U$11,0))</f>
        <v>KKR</v>
      </c>
      <c r="S18" s="47">
        <f t="shared" ref="S18:S26" si="17">INDEX($U$2:$U$11, MATCH(R18,$B$2:$B$11,0))</f>
        <v>0.96615380292192277</v>
      </c>
    </row>
    <row r="19" spans="1:19" x14ac:dyDescent="0.35">
      <c r="A19" s="37">
        <v>3</v>
      </c>
      <c r="B19" s="37" t="str">
        <f t="shared" si="11"/>
        <v>LSG</v>
      </c>
      <c r="C19" s="38">
        <f t="shared" si="12"/>
        <v>0.6428571428571429</v>
      </c>
      <c r="E19" s="41">
        <v>3</v>
      </c>
      <c r="F19" t="str">
        <f t="shared" si="10"/>
        <v>LSG</v>
      </c>
      <c r="H19" s="40">
        <f t="shared" si="13"/>
        <v>0.95939309807681694</v>
      </c>
      <c r="M19" s="37">
        <v>3</v>
      </c>
      <c r="N19" t="str">
        <f t="shared" si="14"/>
        <v>PBKS</v>
      </c>
      <c r="O19" s="40">
        <f t="shared" si="15"/>
        <v>0.78790088813938952</v>
      </c>
      <c r="Q19" s="37">
        <v>3</v>
      </c>
      <c r="R19" t="str">
        <f t="shared" si="16"/>
        <v>LSG</v>
      </c>
      <c r="S19" s="47">
        <f t="shared" si="17"/>
        <v>0.92938424745736881</v>
      </c>
    </row>
    <row r="20" spans="1:19" x14ac:dyDescent="0.35">
      <c r="A20" s="37">
        <v>4</v>
      </c>
      <c r="B20" s="37" t="str">
        <f t="shared" si="11"/>
        <v>RCB</v>
      </c>
      <c r="C20" s="38">
        <f t="shared" si="12"/>
        <v>0.5714285714285714</v>
      </c>
      <c r="E20" s="41">
        <v>4</v>
      </c>
      <c r="F20" t="str">
        <f t="shared" si="10"/>
        <v>DC</v>
      </c>
      <c r="H20" s="40">
        <f t="shared" si="13"/>
        <v>0.92628770333904631</v>
      </c>
      <c r="M20" s="37">
        <v>4</v>
      </c>
      <c r="N20" t="str">
        <f t="shared" si="14"/>
        <v>LSG</v>
      </c>
      <c r="O20" s="40">
        <f t="shared" si="15"/>
        <v>0.45461146281208581</v>
      </c>
      <c r="Q20" s="37">
        <v>4</v>
      </c>
      <c r="R20" t="str">
        <f t="shared" si="16"/>
        <v>RCB</v>
      </c>
      <c r="S20" s="47">
        <f t="shared" si="17"/>
        <v>0.69907465974025118</v>
      </c>
    </row>
    <row r="21" spans="1:19" x14ac:dyDescent="0.35">
      <c r="A21" s="37">
        <v>5</v>
      </c>
      <c r="B21" s="37" t="str">
        <f t="shared" si="11"/>
        <v>DC</v>
      </c>
      <c r="C21" s="38">
        <f t="shared" si="12"/>
        <v>0.5</v>
      </c>
      <c r="E21" s="41">
        <v>5</v>
      </c>
      <c r="F21" t="str">
        <f t="shared" si="10"/>
        <v>KKR</v>
      </c>
      <c r="H21" s="40">
        <f t="shared" si="13"/>
        <v>0.9170832806370024</v>
      </c>
      <c r="M21" s="37">
        <v>5</v>
      </c>
      <c r="N21" t="str">
        <f t="shared" si="14"/>
        <v>GT</v>
      </c>
      <c r="O21" s="40">
        <f t="shared" si="15"/>
        <v>0.41632766251325753</v>
      </c>
      <c r="Q21" s="37">
        <v>5</v>
      </c>
      <c r="R21" t="str">
        <f t="shared" si="16"/>
        <v>RR</v>
      </c>
      <c r="S21" s="47">
        <f t="shared" si="17"/>
        <v>0.66234418540941831</v>
      </c>
    </row>
    <row r="22" spans="1:19" x14ac:dyDescent="0.35">
      <c r="A22" s="37">
        <v>6</v>
      </c>
      <c r="B22" s="37" t="str">
        <f t="shared" si="11"/>
        <v>PBKS</v>
      </c>
      <c r="C22" s="38">
        <f t="shared" si="12"/>
        <v>0.5</v>
      </c>
      <c r="E22" s="41">
        <v>6</v>
      </c>
      <c r="F22" t="str">
        <f t="shared" si="10"/>
        <v>PBKS</v>
      </c>
      <c r="H22" s="40">
        <f t="shared" si="13"/>
        <v>0.87964688008574987</v>
      </c>
      <c r="M22" s="37">
        <v>6</v>
      </c>
      <c r="N22" t="str">
        <f t="shared" si="14"/>
        <v>SRH</v>
      </c>
      <c r="O22" s="40">
        <f t="shared" si="15"/>
        <v>0.32263307639782801</v>
      </c>
      <c r="Q22" s="37">
        <v>6</v>
      </c>
      <c r="R22" t="str">
        <f t="shared" si="16"/>
        <v>PBKS</v>
      </c>
      <c r="S22" s="47">
        <f t="shared" si="17"/>
        <v>0.64714800572160625</v>
      </c>
    </row>
    <row r="23" spans="1:19" x14ac:dyDescent="0.35">
      <c r="A23" s="37">
        <v>7</v>
      </c>
      <c r="B23" s="37" t="str">
        <f t="shared" si="11"/>
        <v>KKR</v>
      </c>
      <c r="C23" s="38">
        <f t="shared" si="12"/>
        <v>0.42857142857142855</v>
      </c>
      <c r="E23" s="41">
        <v>7</v>
      </c>
      <c r="F23" t="str">
        <f t="shared" si="10"/>
        <v>RCB</v>
      </c>
      <c r="H23" s="40">
        <f t="shared" si="13"/>
        <v>0.63920386580665511</v>
      </c>
      <c r="M23" s="37">
        <v>7</v>
      </c>
      <c r="N23" t="str">
        <f t="shared" si="14"/>
        <v>KKR</v>
      </c>
      <c r="O23" s="40">
        <f t="shared" si="15"/>
        <v>0.29610495147138621</v>
      </c>
      <c r="Q23" s="37">
        <v>7</v>
      </c>
      <c r="R23" t="str">
        <f t="shared" si="16"/>
        <v>DC</v>
      </c>
      <c r="S23" s="47">
        <f t="shared" si="17"/>
        <v>0.60498720431117448</v>
      </c>
    </row>
    <row r="24" spans="1:19" x14ac:dyDescent="0.35">
      <c r="A24" s="37">
        <v>8</v>
      </c>
      <c r="B24" s="37" t="str">
        <f t="shared" si="11"/>
        <v>SRH</v>
      </c>
      <c r="C24" s="38">
        <f t="shared" si="12"/>
        <v>0.42857142857142855</v>
      </c>
      <c r="E24" s="41">
        <v>8</v>
      </c>
      <c r="F24" t="str">
        <f t="shared" si="10"/>
        <v>SRH</v>
      </c>
      <c r="H24" s="40">
        <f t="shared" si="13"/>
        <v>0.51878093454044438</v>
      </c>
      <c r="M24" s="37">
        <v>8</v>
      </c>
      <c r="N24" t="str">
        <f t="shared" si="14"/>
        <v>RCB</v>
      </c>
      <c r="O24" s="40">
        <f t="shared" si="15"/>
        <v>0.16945411716064898</v>
      </c>
      <c r="Q24" s="37">
        <v>8</v>
      </c>
      <c r="R24" t="str">
        <f t="shared" si="16"/>
        <v>SRH</v>
      </c>
      <c r="S24" s="47">
        <f t="shared" si="17"/>
        <v>0.4676076015171915</v>
      </c>
    </row>
    <row r="25" spans="1:19" x14ac:dyDescent="0.35">
      <c r="A25" s="37">
        <v>9</v>
      </c>
      <c r="B25" s="37" t="str">
        <f t="shared" si="11"/>
        <v>CSK</v>
      </c>
      <c r="C25" s="38">
        <f t="shared" si="12"/>
        <v>0.2857142857142857</v>
      </c>
      <c r="E25" s="41">
        <v>9</v>
      </c>
      <c r="F25" t="str">
        <f t="shared" si="10"/>
        <v>CSK</v>
      </c>
      <c r="H25" s="40">
        <f t="shared" si="13"/>
        <v>2.2486664464110694E-2</v>
      </c>
      <c r="M25" s="37">
        <v>9</v>
      </c>
      <c r="N25" t="str">
        <f t="shared" si="14"/>
        <v>CSK</v>
      </c>
      <c r="O25" s="40">
        <f t="shared" si="15"/>
        <v>7.9538202889499948E-2</v>
      </c>
      <c r="Q25" s="37">
        <v>9</v>
      </c>
      <c r="R25" t="str">
        <f t="shared" si="16"/>
        <v>MI</v>
      </c>
      <c r="S25" s="47">
        <f t="shared" si="17"/>
        <v>1.6925668633165334E-2</v>
      </c>
    </row>
    <row r="26" spans="1:19" ht="15" thickBot="1" x14ac:dyDescent="0.4">
      <c r="A26" s="37">
        <v>10</v>
      </c>
      <c r="B26" s="37" t="str">
        <f t="shared" si="11"/>
        <v>MI</v>
      </c>
      <c r="C26" s="38">
        <f t="shared" si="12"/>
        <v>0.2857142857142857</v>
      </c>
      <c r="E26" s="42">
        <v>10</v>
      </c>
      <c r="F26" s="43" t="str">
        <f t="shared" si="10"/>
        <v>MI</v>
      </c>
      <c r="G26" s="43"/>
      <c r="H26" s="44">
        <f t="shared" si="13"/>
        <v>0</v>
      </c>
      <c r="M26" s="37">
        <v>10</v>
      </c>
      <c r="N26" t="str">
        <f t="shared" si="14"/>
        <v>MI</v>
      </c>
      <c r="O26" s="40">
        <f t="shared" si="15"/>
        <v>0</v>
      </c>
      <c r="Q26" s="37">
        <v>10</v>
      </c>
      <c r="R26" s="48" t="str">
        <f>INDEX($B$2:$B$11,
MATCH(LARGE($U$2:$U$11,ROW(A10)),$U$2:$U$11,0))</f>
        <v>CSK</v>
      </c>
      <c r="S26" s="49">
        <f t="shared" si="17"/>
        <v>0</v>
      </c>
    </row>
    <row r="27" spans="1:19" x14ac:dyDescent="0.35">
      <c r="O27" s="40"/>
    </row>
    <row r="30" spans="1:19" x14ac:dyDescent="0.35">
      <c r="C30" s="87" t="s">
        <v>91</v>
      </c>
      <c r="D30" s="88"/>
      <c r="E30" s="89"/>
      <c r="M30" s="87" t="s">
        <v>93</v>
      </c>
      <c r="N30" s="88"/>
      <c r="O30" s="89"/>
    </row>
    <row r="31" spans="1:19" x14ac:dyDescent="0.35">
      <c r="C31" s="90"/>
      <c r="D31" s="91"/>
      <c r="E31" s="92"/>
      <c r="M31" s="90"/>
      <c r="N31" s="91"/>
      <c r="O31" s="92"/>
    </row>
    <row r="32" spans="1:19" x14ac:dyDescent="0.35">
      <c r="C32" s="45">
        <v>1</v>
      </c>
      <c r="D32" t="str">
        <f>INDEX($B$2:$B$11,
MATCH(LARGE($V$2:$V$11,ROW(A1)),$V$2:$V$11,0))</f>
        <v>RR</v>
      </c>
      <c r="E32" s="46">
        <f>INDEX($V$2:$V$11, MATCH(D32,$B$2:$B$11,0))</f>
        <v>0.80381459033275282</v>
      </c>
      <c r="M32" s="37">
        <v>1</v>
      </c>
      <c r="N32" t="str">
        <f>INDEX($B$2:$B$11,
MATCH(LARGE($W$2:$W$11,ROW(A1)),$W$2:$W$11,0))</f>
        <v>RR</v>
      </c>
      <c r="O32" s="47">
        <f>INDEX($W$2:$W$11, MATCH(N32,$B$2:$B$11,0))</f>
        <v>0.83117209270470915</v>
      </c>
    </row>
    <row r="33" spans="3:15" x14ac:dyDescent="0.35">
      <c r="C33" s="45">
        <v>2</v>
      </c>
      <c r="D33" t="str">
        <f t="shared" ref="D33:D41" si="18">INDEX($B$2:$B$11,
MATCH(LARGE($V$2:$V$11,ROW(A2)),$V$2:$V$11,0))</f>
        <v>GT</v>
      </c>
      <c r="E33" s="46">
        <f t="shared" ref="E33:E41" si="19">INDEX($V$2:$V$11, MATCH(D33,$B$2:$B$11,0))</f>
        <v>0.76897981821693728</v>
      </c>
      <c r="M33" s="37">
        <v>2</v>
      </c>
      <c r="N33" t="str">
        <f t="shared" ref="N33:N41" si="20">INDEX($B$2:$B$11,
MATCH(LARGE($W$2:$W$11,ROW(A2)),$W$2:$W$11,0))</f>
        <v>DC</v>
      </c>
      <c r="O33" s="47">
        <f t="shared" ref="O33:O41" si="21">INDEX($W$2:$W$11, MATCH(N33,$B$2:$B$11,0))</f>
        <v>0.78527293357407357</v>
      </c>
    </row>
    <row r="34" spans="3:15" x14ac:dyDescent="0.35">
      <c r="C34" s="45">
        <v>3</v>
      </c>
      <c r="D34" t="str">
        <f t="shared" si="18"/>
        <v>LSG</v>
      </c>
      <c r="E34" s="46">
        <f t="shared" si="19"/>
        <v>0.72732106134308383</v>
      </c>
      <c r="M34" s="37">
        <v>3</v>
      </c>
      <c r="N34" t="str">
        <f t="shared" si="20"/>
        <v>PBKS</v>
      </c>
      <c r="O34" s="47">
        <f t="shared" si="21"/>
        <v>0.71752444693049788</v>
      </c>
    </row>
    <row r="35" spans="3:15" x14ac:dyDescent="0.35">
      <c r="C35" s="45">
        <v>4</v>
      </c>
      <c r="D35" t="str">
        <f t="shared" si="18"/>
        <v>DC</v>
      </c>
      <c r="E35" s="46">
        <f t="shared" si="19"/>
        <v>0.71543173904883228</v>
      </c>
      <c r="M35" s="37">
        <v>4</v>
      </c>
      <c r="N35" t="str">
        <f t="shared" si="20"/>
        <v>GT</v>
      </c>
      <c r="O35" s="47">
        <f t="shared" si="21"/>
        <v>0.70816383125662874</v>
      </c>
    </row>
    <row r="36" spans="3:15" x14ac:dyDescent="0.35">
      <c r="C36" s="45">
        <v>5</v>
      </c>
      <c r="D36" t="str">
        <f t="shared" si="18"/>
        <v>PBKS</v>
      </c>
      <c r="E36" s="46">
        <f t="shared" si="19"/>
        <v>0.67456409850755639</v>
      </c>
      <c r="M36" s="37">
        <v>5</v>
      </c>
      <c r="N36" t="str">
        <f t="shared" si="20"/>
        <v>LSG</v>
      </c>
      <c r="O36" s="47">
        <f t="shared" si="21"/>
        <v>0.69199785513472734</v>
      </c>
    </row>
    <row r="37" spans="3:15" x14ac:dyDescent="0.35">
      <c r="C37" s="45">
        <v>6</v>
      </c>
      <c r="D37" t="str">
        <f t="shared" si="18"/>
        <v>KKR</v>
      </c>
      <c r="E37" s="46">
        <f t="shared" si="19"/>
        <v>0.60484345232038772</v>
      </c>
      <c r="M37" s="37">
        <v>6</v>
      </c>
      <c r="N37" t="str">
        <f t="shared" si="20"/>
        <v>KKR</v>
      </c>
      <c r="O37" s="47">
        <f t="shared" si="21"/>
        <v>0.63112937719665452</v>
      </c>
    </row>
    <row r="38" spans="3:15" x14ac:dyDescent="0.35">
      <c r="C38" s="45">
        <v>7</v>
      </c>
      <c r="D38" t="str">
        <f t="shared" si="18"/>
        <v>RCB</v>
      </c>
      <c r="E38" s="46">
        <f t="shared" si="19"/>
        <v>0.52712441741625982</v>
      </c>
      <c r="M38" s="37">
        <v>7</v>
      </c>
      <c r="N38" t="str">
        <f t="shared" si="20"/>
        <v>RCB</v>
      </c>
      <c r="O38" s="47">
        <f t="shared" si="21"/>
        <v>0.43426438845045007</v>
      </c>
    </row>
    <row r="39" spans="3:15" x14ac:dyDescent="0.35">
      <c r="C39" s="45">
        <v>8</v>
      </c>
      <c r="D39" t="str">
        <f t="shared" si="18"/>
        <v>SRH</v>
      </c>
      <c r="E39" s="46">
        <f t="shared" si="19"/>
        <v>0.43579156057082685</v>
      </c>
      <c r="M39" s="37">
        <v>8</v>
      </c>
      <c r="N39" t="str">
        <f t="shared" si="20"/>
        <v>SRH</v>
      </c>
      <c r="O39" s="47">
        <f t="shared" si="21"/>
        <v>0.39512033895750975</v>
      </c>
    </row>
    <row r="40" spans="3:15" x14ac:dyDescent="0.35">
      <c r="C40" s="45">
        <v>9</v>
      </c>
      <c r="D40" t="str">
        <f t="shared" si="18"/>
        <v>CSK</v>
      </c>
      <c r="E40" s="46">
        <f t="shared" si="19"/>
        <v>0.13581502097964193</v>
      </c>
      <c r="M40" s="37">
        <v>9</v>
      </c>
      <c r="N40" t="str">
        <f t="shared" si="20"/>
        <v>CSK</v>
      </c>
      <c r="O40" s="47">
        <f t="shared" si="21"/>
        <v>3.9769101444749974E-2</v>
      </c>
    </row>
    <row r="41" spans="3:15" x14ac:dyDescent="0.35">
      <c r="C41" s="45">
        <v>10</v>
      </c>
      <c r="D41" t="str">
        <f t="shared" si="18"/>
        <v>MI</v>
      </c>
      <c r="E41" s="46">
        <f t="shared" si="19"/>
        <v>0.11682456458068909</v>
      </c>
      <c r="M41" s="37">
        <v>10</v>
      </c>
      <c r="N41" s="48" t="str">
        <f t="shared" si="20"/>
        <v>MI</v>
      </c>
      <c r="O41" s="49">
        <f t="shared" si="21"/>
        <v>8.462834316582667E-3</v>
      </c>
    </row>
    <row r="76" spans="3:3" x14ac:dyDescent="0.35">
      <c r="C76" s="50">
        <f t="shared" ref="C76:C85" si="22">INDEX(O$32:O$41,MATCH(D32,N$32:N$41,0))</f>
        <v>0.83117209270470915</v>
      </c>
    </row>
    <row r="77" spans="3:3" x14ac:dyDescent="0.35">
      <c r="C77" s="50">
        <f t="shared" si="22"/>
        <v>0.70816383125662874</v>
      </c>
    </row>
    <row r="78" spans="3:3" x14ac:dyDescent="0.35">
      <c r="C78" s="50">
        <f t="shared" si="22"/>
        <v>0.69199785513472734</v>
      </c>
    </row>
    <row r="79" spans="3:3" x14ac:dyDescent="0.35">
      <c r="C79" s="50">
        <f t="shared" si="22"/>
        <v>0.78527293357407357</v>
      </c>
    </row>
    <row r="80" spans="3:3" x14ac:dyDescent="0.35">
      <c r="C80" s="50">
        <f t="shared" si="22"/>
        <v>0.71752444693049788</v>
      </c>
    </row>
    <row r="81" spans="3:3" x14ac:dyDescent="0.35">
      <c r="C81" s="50">
        <f t="shared" si="22"/>
        <v>0.63112937719665452</v>
      </c>
    </row>
    <row r="82" spans="3:3" x14ac:dyDescent="0.35">
      <c r="C82" s="50">
        <f t="shared" si="22"/>
        <v>0.43426438845045007</v>
      </c>
    </row>
    <row r="83" spans="3:3" x14ac:dyDescent="0.35">
      <c r="C83" s="50">
        <f t="shared" si="22"/>
        <v>0.39512033895750975</v>
      </c>
    </row>
    <row r="84" spans="3:3" x14ac:dyDescent="0.35">
      <c r="C84" s="50">
        <f t="shared" si="22"/>
        <v>3.9769101444749974E-2</v>
      </c>
    </row>
    <row r="85" spans="3:3" x14ac:dyDescent="0.35">
      <c r="C85" s="50">
        <f t="shared" si="22"/>
        <v>8.462834316582667E-3</v>
      </c>
    </row>
  </sheetData>
  <mergeCells count="7">
    <mergeCell ref="A13:S13"/>
    <mergeCell ref="C30:E31"/>
    <mergeCell ref="M30:O31"/>
    <mergeCell ref="A15:C16"/>
    <mergeCell ref="E15:H16"/>
    <mergeCell ref="M15:O16"/>
    <mergeCell ref="Q15:S16"/>
  </mergeCells>
  <pageMargins left="0.7" right="0.7" top="0.75" bottom="0.75" header="0.3" footer="0.3"/>
  <ignoredErrors>
    <ignoredError sqref="E32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45F5-B1BA-4A52-8C8E-CBA4F92F2963}">
  <dimension ref="A1:W41"/>
  <sheetViews>
    <sheetView topLeftCell="K1" workbookViewId="0">
      <selection activeCell="K39" sqref="K39"/>
    </sheetView>
  </sheetViews>
  <sheetFormatPr defaultRowHeight="14.5" x14ac:dyDescent="0.35"/>
  <cols>
    <col min="1" max="1" width="4.90625" style="13" bestFit="1" customWidth="1"/>
    <col min="2" max="3" width="12.26953125" style="13" customWidth="1"/>
    <col min="4" max="4" width="8.26953125" style="13" customWidth="1"/>
    <col min="5" max="5" width="9" style="13" customWidth="1"/>
    <col min="6" max="6" width="8.7265625" style="13" bestFit="1" customWidth="1"/>
    <col min="7" max="7" width="10.81640625" style="13" hidden="1" customWidth="1"/>
    <col min="8" max="8" width="10.81640625" style="13" customWidth="1"/>
    <col min="9" max="9" width="12.26953125" style="13" hidden="1" customWidth="1"/>
    <col min="10" max="11" width="12.26953125" style="13" customWidth="1"/>
    <col min="12" max="12" width="12.26953125" style="13" hidden="1" customWidth="1"/>
    <col min="13" max="13" width="12.26953125" style="13" customWidth="1"/>
    <col min="14" max="14" width="18.453125" customWidth="1"/>
    <col min="15" max="15" width="7.81640625" bestFit="1" customWidth="1"/>
    <col min="16" max="16" width="9.453125" customWidth="1"/>
  </cols>
  <sheetData>
    <row r="1" spans="1:23" s="33" customFormat="1" ht="47.5" customHeight="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4" t="s">
        <v>6</v>
      </c>
      <c r="I1" s="27"/>
      <c r="J1" s="14" t="s">
        <v>7</v>
      </c>
      <c r="K1" s="14" t="s">
        <v>79</v>
      </c>
      <c r="L1" s="14" t="s">
        <v>8</v>
      </c>
      <c r="M1" s="14" t="s">
        <v>8</v>
      </c>
      <c r="N1" s="28" t="s">
        <v>80</v>
      </c>
      <c r="O1" s="29" t="s">
        <v>9</v>
      </c>
      <c r="P1" s="30" t="s">
        <v>81</v>
      </c>
      <c r="Q1" s="30" t="s">
        <v>85</v>
      </c>
      <c r="R1" s="30" t="s">
        <v>86</v>
      </c>
      <c r="S1" s="30" t="s">
        <v>82</v>
      </c>
      <c r="T1" s="30" t="s">
        <v>83</v>
      </c>
      <c r="U1" s="31" t="s">
        <v>84</v>
      </c>
      <c r="V1" s="32" t="s">
        <v>87</v>
      </c>
      <c r="W1" s="19" t="s">
        <v>92</v>
      </c>
    </row>
    <row r="2" spans="1:23" x14ac:dyDescent="0.35">
      <c r="A2" s="25">
        <v>1</v>
      </c>
      <c r="B2" s="25" t="s">
        <v>10</v>
      </c>
      <c r="C2" s="25">
        <v>14</v>
      </c>
      <c r="D2" s="25">
        <v>10</v>
      </c>
      <c r="E2" s="25">
        <v>4</v>
      </c>
      <c r="F2" s="25">
        <v>0</v>
      </c>
      <c r="G2" s="25">
        <v>0.80900000000000005</v>
      </c>
      <c r="H2" s="26">
        <f>J2/K2 - M2/N2</f>
        <v>0.80743564230512987</v>
      </c>
      <c r="I2" s="25" t="s">
        <v>11</v>
      </c>
      <c r="J2" s="25">
        <v>2450</v>
      </c>
      <c r="K2" s="25">
        <v>268.10000000000002</v>
      </c>
      <c r="L2" s="25" t="s">
        <v>12</v>
      </c>
      <c r="M2" s="25">
        <v>2326</v>
      </c>
      <c r="N2" s="2">
        <v>279.2</v>
      </c>
      <c r="O2" s="1">
        <f t="shared" ref="O2:O11" si="0">D2*2 + F2*1</f>
        <v>20</v>
      </c>
      <c r="P2" s="8">
        <f>D2/C2</f>
        <v>0.7142857142857143</v>
      </c>
      <c r="Q2" s="22">
        <f>J2/K2</f>
        <v>9.1383812010443854</v>
      </c>
      <c r="R2" s="22">
        <f>M2/N2</f>
        <v>8.3309455587392556</v>
      </c>
      <c r="S2" s="8">
        <f>(H2-MIN($H$2:$H$11))/(MAX($H$2:$H$11)-MIN($H$2:$H$11))</f>
        <v>1</v>
      </c>
      <c r="T2" s="23">
        <f>(Q2 - MIN($Q$2:$Q$11)) / (MAX($Q$2:$Q$11) - MIN($Q$2:$Q$11))</f>
        <v>0.73213478197219162</v>
      </c>
      <c r="U2" s="23">
        <f>(MAX($R$2:$R$11) - R2) / (MAX($R$2:$R$11) - MIN($R$2:$R$11))</f>
        <v>1</v>
      </c>
      <c r="V2" s="7">
        <f>0.4*P2 + 0.25*S2 + 0.2*T2 + 0.15*U2</f>
        <v>0.8321412421087242</v>
      </c>
      <c r="W2" s="6">
        <f>AVERAGE(T2,U2)</f>
        <v>0.86606739098609586</v>
      </c>
    </row>
    <row r="3" spans="1:23" x14ac:dyDescent="0.35">
      <c r="A3" s="24">
        <v>2</v>
      </c>
      <c r="B3" s="24" t="s">
        <v>13</v>
      </c>
      <c r="C3" s="24">
        <v>14</v>
      </c>
      <c r="D3" s="24">
        <v>8</v>
      </c>
      <c r="E3" s="24">
        <v>5</v>
      </c>
      <c r="F3" s="24">
        <v>1</v>
      </c>
      <c r="G3" s="24">
        <v>0.65200000000000002</v>
      </c>
      <c r="H3" s="26">
        <f>J3/K3 - M3/N3</f>
        <v>0.64780761198645465</v>
      </c>
      <c r="I3" s="24" t="s">
        <v>14</v>
      </c>
      <c r="J3" s="24">
        <v>2369</v>
      </c>
      <c r="K3" s="24">
        <v>254.3</v>
      </c>
      <c r="L3" s="24" t="s">
        <v>15</v>
      </c>
      <c r="M3" s="24">
        <v>2232</v>
      </c>
      <c r="N3" s="1">
        <v>257.5</v>
      </c>
      <c r="O3" s="1">
        <f t="shared" si="0"/>
        <v>17</v>
      </c>
      <c r="P3" s="8">
        <f t="shared" ref="P3:P11" si="1">D3/C3</f>
        <v>0.5714285714285714</v>
      </c>
      <c r="Q3" s="22">
        <f t="shared" ref="Q3:Q11" si="2">J3/K3</f>
        <v>9.3157687770349984</v>
      </c>
      <c r="R3" s="22">
        <f t="shared" ref="R3:R11" si="3">M3/N3</f>
        <v>8.6679611650485437</v>
      </c>
      <c r="S3" s="8">
        <f t="shared" ref="S3:S11" si="4">(H3-MIN($H$2:$H$11))/(MAX($H$2:$H$11)-MIN($H$2:$H$11))</f>
        <v>0.90133796726744886</v>
      </c>
      <c r="T3" s="23">
        <f t="shared" ref="T3:T11" si="5">(Q3 - MIN($Q$2:$Q$11)) / (MAX($Q$2:$Q$11) - MIN($Q$2:$Q$11))</f>
        <v>0.83750009888251387</v>
      </c>
      <c r="U3" s="23">
        <f t="shared" ref="U3:U11" si="6">(MAX($R$2:$R$11) - R3) / (MAX($R$2:$R$11) - MIN($R$2:$R$11))</f>
        <v>0.74033124485229451</v>
      </c>
      <c r="V3" s="7">
        <f t="shared" ref="V3:V11" si="7">0.4*P3 + 0.25*S3 + 0.2*T3 + 0.15*U3</f>
        <v>0.73245562689263777</v>
      </c>
      <c r="W3" s="6">
        <f t="shared" ref="W3:W11" si="8">AVERAGE(T3,U3)</f>
        <v>0.78891567186740419</v>
      </c>
    </row>
    <row r="4" spans="1:23" x14ac:dyDescent="0.35">
      <c r="A4" s="24">
        <v>3</v>
      </c>
      <c r="B4" s="24" t="s">
        <v>16</v>
      </c>
      <c r="C4" s="24">
        <v>14</v>
      </c>
      <c r="D4" s="24">
        <v>8</v>
      </c>
      <c r="E4" s="24">
        <v>5</v>
      </c>
      <c r="F4" s="24">
        <v>1</v>
      </c>
      <c r="G4" s="24">
        <v>0.28399999999999997</v>
      </c>
      <c r="H4" s="26">
        <f t="shared" ref="H4:H11" si="9">J4/K4 - M4/N4</f>
        <v>0.28228429083848994</v>
      </c>
      <c r="I4" s="24" t="s">
        <v>17</v>
      </c>
      <c r="J4" s="24">
        <v>2253</v>
      </c>
      <c r="K4" s="24">
        <v>255.2</v>
      </c>
      <c r="L4" s="24" t="s">
        <v>18</v>
      </c>
      <c r="M4" s="24">
        <v>2216</v>
      </c>
      <c r="N4" s="1">
        <v>259.3</v>
      </c>
      <c r="O4" s="1">
        <f t="shared" si="0"/>
        <v>17</v>
      </c>
      <c r="P4" s="8">
        <f t="shared" si="1"/>
        <v>0.5714285714285714</v>
      </c>
      <c r="Q4" s="22">
        <f t="shared" si="2"/>
        <v>8.828369905956114</v>
      </c>
      <c r="R4" s="22">
        <f t="shared" si="3"/>
        <v>8.5460856151176241</v>
      </c>
      <c r="S4" s="8">
        <f t="shared" si="4"/>
        <v>0.67541728276350554</v>
      </c>
      <c r="T4" s="23">
        <f t="shared" si="5"/>
        <v>0.54799314651467967</v>
      </c>
      <c r="U4" s="23">
        <f t="shared" si="6"/>
        <v>0.83423571616173409</v>
      </c>
      <c r="V4" s="7">
        <f t="shared" si="7"/>
        <v>0.63215973598950093</v>
      </c>
      <c r="W4" s="6">
        <f t="shared" si="8"/>
        <v>0.69111443133820694</v>
      </c>
    </row>
    <row r="5" spans="1:23" x14ac:dyDescent="0.35">
      <c r="A5" s="24">
        <v>4</v>
      </c>
      <c r="B5" s="24" t="s">
        <v>19</v>
      </c>
      <c r="C5" s="24">
        <v>14</v>
      </c>
      <c r="D5" s="24">
        <v>8</v>
      </c>
      <c r="E5" s="24">
        <v>6</v>
      </c>
      <c r="F5" s="24">
        <v>0</v>
      </c>
      <c r="G5" s="24">
        <v>-4.3999999999999997E-2</v>
      </c>
      <c r="H5" s="26">
        <f t="shared" si="9"/>
        <v>-3.9467764389357285E-2</v>
      </c>
      <c r="I5" s="24" t="s">
        <v>20</v>
      </c>
      <c r="J5" s="24">
        <v>2592</v>
      </c>
      <c r="K5" s="24">
        <v>270.3</v>
      </c>
      <c r="L5" s="24" t="s">
        <v>21</v>
      </c>
      <c r="M5" s="24">
        <v>2620</v>
      </c>
      <c r="N5" s="1">
        <v>272.10000000000002</v>
      </c>
      <c r="O5" s="1">
        <f t="shared" si="0"/>
        <v>16</v>
      </c>
      <c r="P5" s="8">
        <f t="shared" si="1"/>
        <v>0.5714285714285714</v>
      </c>
      <c r="Q5" s="22">
        <f t="shared" si="2"/>
        <v>9.5893451720310754</v>
      </c>
      <c r="R5" s="22">
        <f t="shared" si="3"/>
        <v>9.6288129364204327</v>
      </c>
      <c r="S5" s="8">
        <f>(H5-MIN($H$2:$H$11))/(MAX($H$2:$H$11)-MIN($H$2:$H$11))</f>
        <v>0.47655050641300151</v>
      </c>
      <c r="T5" s="23">
        <f t="shared" si="5"/>
        <v>1</v>
      </c>
      <c r="U5" s="23">
        <f>(MAX($R$2:$R$11) - R5) / (MAX($R$2:$R$11) - MIN($R$2:$R$11))</f>
        <v>0</v>
      </c>
      <c r="V5" s="7">
        <f t="shared" si="7"/>
        <v>0.54770905517467894</v>
      </c>
      <c r="W5" s="6">
        <f t="shared" si="8"/>
        <v>0.5</v>
      </c>
    </row>
    <row r="6" spans="1:23" x14ac:dyDescent="0.35">
      <c r="A6" s="24">
        <v>5</v>
      </c>
      <c r="B6" s="24" t="s">
        <v>22</v>
      </c>
      <c r="C6" s="24">
        <v>14</v>
      </c>
      <c r="D6" s="24">
        <v>7</v>
      </c>
      <c r="E6" s="24">
        <v>7</v>
      </c>
      <c r="F6" s="24">
        <v>0</v>
      </c>
      <c r="G6" s="24">
        <v>0.14799999999999999</v>
      </c>
      <c r="H6" s="26">
        <f t="shared" si="9"/>
        <v>0.14560441186520023</v>
      </c>
      <c r="I6" s="24" t="s">
        <v>23</v>
      </c>
      <c r="J6" s="24">
        <v>2419</v>
      </c>
      <c r="K6" s="24">
        <v>272.10000000000002</v>
      </c>
      <c r="L6" s="24" t="s">
        <v>24</v>
      </c>
      <c r="M6" s="24">
        <v>2389</v>
      </c>
      <c r="N6" s="1">
        <v>273.2</v>
      </c>
      <c r="O6" s="1">
        <f t="shared" si="0"/>
        <v>14</v>
      </c>
      <c r="P6" s="8">
        <f t="shared" si="1"/>
        <v>0.5</v>
      </c>
      <c r="Q6" s="22">
        <f t="shared" si="2"/>
        <v>8.8901139287026822</v>
      </c>
      <c r="R6" s="22">
        <f t="shared" si="3"/>
        <v>8.744509516837482</v>
      </c>
      <c r="S6" s="8">
        <f t="shared" si="4"/>
        <v>0.59093891974528956</v>
      </c>
      <c r="T6" s="23">
        <f t="shared" si="5"/>
        <v>0.58466808548760174</v>
      </c>
      <c r="U6" s="23">
        <f t="shared" si="6"/>
        <v>0.68135114171902778</v>
      </c>
      <c r="V6" s="7">
        <f t="shared" si="7"/>
        <v>0.56687101829169695</v>
      </c>
      <c r="W6" s="6">
        <f t="shared" si="8"/>
        <v>0.63300961360331476</v>
      </c>
    </row>
    <row r="7" spans="1:23" x14ac:dyDescent="0.35">
      <c r="A7" s="24">
        <v>6</v>
      </c>
      <c r="B7" s="24" t="s">
        <v>25</v>
      </c>
      <c r="C7" s="24">
        <v>14</v>
      </c>
      <c r="D7" s="24">
        <v>7</v>
      </c>
      <c r="E7" s="24">
        <v>7</v>
      </c>
      <c r="F7" s="24">
        <v>0</v>
      </c>
      <c r="G7" s="24">
        <v>0.13500000000000001</v>
      </c>
      <c r="H7" s="26">
        <f t="shared" si="9"/>
        <v>0.13933910571331332</v>
      </c>
      <c r="I7" s="24" t="s">
        <v>26</v>
      </c>
      <c r="J7" s="24">
        <v>2502</v>
      </c>
      <c r="K7" s="24">
        <v>275.39999999999998</v>
      </c>
      <c r="L7" s="24" t="s">
        <v>27</v>
      </c>
      <c r="M7" s="24">
        <v>2435</v>
      </c>
      <c r="N7" s="1">
        <v>272.2</v>
      </c>
      <c r="O7" s="1">
        <f t="shared" si="0"/>
        <v>14</v>
      </c>
      <c r="P7" s="8">
        <f t="shared" si="1"/>
        <v>0.5</v>
      </c>
      <c r="Q7" s="22">
        <f t="shared" si="2"/>
        <v>9.0849673202614394</v>
      </c>
      <c r="R7" s="22">
        <f t="shared" si="3"/>
        <v>8.9456282145481261</v>
      </c>
      <c r="S7" s="8">
        <f t="shared" si="4"/>
        <v>0.58706649308311198</v>
      </c>
      <c r="T7" s="23">
        <f t="shared" si="5"/>
        <v>0.70040781098971927</v>
      </c>
      <c r="U7" s="23">
        <f t="shared" si="6"/>
        <v>0.52639024111455235</v>
      </c>
      <c r="V7" s="7">
        <f t="shared" si="7"/>
        <v>0.56580672163590473</v>
      </c>
      <c r="W7" s="6">
        <f t="shared" si="8"/>
        <v>0.61339902605213581</v>
      </c>
    </row>
    <row r="8" spans="1:23" x14ac:dyDescent="0.35">
      <c r="A8" s="24">
        <v>7</v>
      </c>
      <c r="B8" s="24" t="s">
        <v>28</v>
      </c>
      <c r="C8" s="24">
        <v>14</v>
      </c>
      <c r="D8" s="24">
        <v>6</v>
      </c>
      <c r="E8" s="24">
        <v>8</v>
      </c>
      <c r="F8" s="24">
        <v>0</v>
      </c>
      <c r="G8" s="24">
        <v>-0.23899999999999999</v>
      </c>
      <c r="H8" s="26">
        <f t="shared" si="9"/>
        <v>-0.23290137982081305</v>
      </c>
      <c r="I8" s="24" t="s">
        <v>29</v>
      </c>
      <c r="J8" s="24">
        <v>2463</v>
      </c>
      <c r="K8" s="24">
        <v>274.3</v>
      </c>
      <c r="L8" s="24" t="s">
        <v>30</v>
      </c>
      <c r="M8" s="24">
        <v>2432</v>
      </c>
      <c r="N8" s="1">
        <v>264</v>
      </c>
      <c r="O8" s="1">
        <f t="shared" si="0"/>
        <v>12</v>
      </c>
      <c r="P8" s="8">
        <f t="shared" si="1"/>
        <v>0.42857142857142855</v>
      </c>
      <c r="Q8" s="22">
        <f t="shared" si="2"/>
        <v>8.9792198323003998</v>
      </c>
      <c r="R8" s="22">
        <f t="shared" si="3"/>
        <v>9.2121212121212128</v>
      </c>
      <c r="S8" s="8">
        <f t="shared" si="4"/>
        <v>0.35699409981464691</v>
      </c>
      <c r="T8" s="23">
        <f t="shared" si="5"/>
        <v>0.63759553386567169</v>
      </c>
      <c r="U8" s="23">
        <f t="shared" si="6"/>
        <v>0.32105878571637908</v>
      </c>
      <c r="V8" s="7">
        <f t="shared" si="7"/>
        <v>0.43635502101282436</v>
      </c>
      <c r="W8" s="6">
        <f t="shared" si="8"/>
        <v>0.47932715979102536</v>
      </c>
    </row>
    <row r="9" spans="1:23" x14ac:dyDescent="0.35">
      <c r="A9" s="24">
        <v>8</v>
      </c>
      <c r="B9" s="24" t="s">
        <v>31</v>
      </c>
      <c r="C9" s="24">
        <v>14</v>
      </c>
      <c r="D9" s="24">
        <v>6</v>
      </c>
      <c r="E9" s="24">
        <v>8</v>
      </c>
      <c r="F9" s="24">
        <v>0</v>
      </c>
      <c r="G9" s="24">
        <v>-0.30399999999999999</v>
      </c>
      <c r="H9" s="26">
        <f t="shared" si="9"/>
        <v>-0.3044067196607152</v>
      </c>
      <c r="I9" s="24" t="s">
        <v>32</v>
      </c>
      <c r="J9" s="24">
        <v>2518</v>
      </c>
      <c r="K9" s="24">
        <v>275.3</v>
      </c>
      <c r="L9" s="24" t="s">
        <v>33</v>
      </c>
      <c r="M9" s="24">
        <v>2564</v>
      </c>
      <c r="N9" s="1">
        <v>271.3</v>
      </c>
      <c r="O9" s="1">
        <f t="shared" si="0"/>
        <v>12</v>
      </c>
      <c r="P9" s="8">
        <f t="shared" si="1"/>
        <v>0.42857142857142855</v>
      </c>
      <c r="Q9" s="22">
        <f t="shared" si="2"/>
        <v>9.1463857609880126</v>
      </c>
      <c r="R9" s="22">
        <f t="shared" si="3"/>
        <v>9.4507924806487278</v>
      </c>
      <c r="S9" s="8">
        <f t="shared" si="4"/>
        <v>0.31279846471376538</v>
      </c>
      <c r="T9" s="23">
        <f t="shared" si="5"/>
        <v>0.73688935957142876</v>
      </c>
      <c r="U9" s="23">
        <f t="shared" si="6"/>
        <v>0.13716382646874406</v>
      </c>
      <c r="V9" s="7">
        <f t="shared" si="7"/>
        <v>0.41758063349161012</v>
      </c>
      <c r="W9" s="6">
        <f t="shared" si="8"/>
        <v>0.4370265930200864</v>
      </c>
    </row>
    <row r="10" spans="1:23" x14ac:dyDescent="0.35">
      <c r="A10" s="24">
        <v>9</v>
      </c>
      <c r="B10" s="24" t="s">
        <v>34</v>
      </c>
      <c r="C10" s="24">
        <v>14</v>
      </c>
      <c r="D10" s="24">
        <v>5</v>
      </c>
      <c r="E10" s="24">
        <v>9</v>
      </c>
      <c r="F10" s="24">
        <v>0</v>
      </c>
      <c r="G10" s="24">
        <v>-0.80800000000000005</v>
      </c>
      <c r="H10" s="26">
        <f t="shared" si="9"/>
        <v>-0.81049200318934389</v>
      </c>
      <c r="I10" s="24" t="s">
        <v>35</v>
      </c>
      <c r="J10" s="24">
        <v>2182</v>
      </c>
      <c r="K10" s="24">
        <v>276</v>
      </c>
      <c r="L10" s="24" t="s">
        <v>36</v>
      </c>
      <c r="M10" s="24">
        <v>2424</v>
      </c>
      <c r="N10" s="1">
        <v>278.10000000000002</v>
      </c>
      <c r="O10" s="1">
        <f t="shared" si="0"/>
        <v>10</v>
      </c>
      <c r="P10" s="8">
        <f t="shared" si="1"/>
        <v>0.35714285714285715</v>
      </c>
      <c r="Q10" s="22">
        <f t="shared" si="2"/>
        <v>7.9057971014492754</v>
      </c>
      <c r="R10" s="22">
        <f t="shared" si="3"/>
        <v>8.7162891046386193</v>
      </c>
      <c r="S10" s="8">
        <f t="shared" si="4"/>
        <v>0</v>
      </c>
      <c r="T10" s="23">
        <f t="shared" si="5"/>
        <v>0</v>
      </c>
      <c r="U10" s="23">
        <f t="shared" si="6"/>
        <v>0.70309482114587529</v>
      </c>
      <c r="V10" s="7">
        <f t="shared" si="7"/>
        <v>0.24832136602902416</v>
      </c>
      <c r="W10" s="6">
        <f t="shared" si="8"/>
        <v>0.35154741057293765</v>
      </c>
    </row>
    <row r="11" spans="1:23" x14ac:dyDescent="0.35">
      <c r="A11" s="24">
        <v>10</v>
      </c>
      <c r="B11" s="24" t="s">
        <v>37</v>
      </c>
      <c r="C11" s="24">
        <v>14</v>
      </c>
      <c r="D11" s="24">
        <v>4</v>
      </c>
      <c r="E11" s="24">
        <v>10</v>
      </c>
      <c r="F11" s="24">
        <v>0</v>
      </c>
      <c r="G11" s="24">
        <v>-0.59</v>
      </c>
      <c r="H11" s="26">
        <f t="shared" si="9"/>
        <v>-0.59214483339348156</v>
      </c>
      <c r="I11" s="24" t="s">
        <v>38</v>
      </c>
      <c r="J11" s="24">
        <v>2376</v>
      </c>
      <c r="K11" s="24">
        <v>277.10000000000002</v>
      </c>
      <c r="L11" s="24" t="s">
        <v>39</v>
      </c>
      <c r="M11" s="24">
        <v>2486</v>
      </c>
      <c r="N11" s="1">
        <v>271.2</v>
      </c>
      <c r="O11" s="1">
        <f t="shared" si="0"/>
        <v>8</v>
      </c>
      <c r="P11" s="8">
        <f t="shared" si="1"/>
        <v>0.2857142857142857</v>
      </c>
      <c r="Q11" s="22">
        <f t="shared" si="2"/>
        <v>8.5745218332731863</v>
      </c>
      <c r="R11" s="22">
        <f t="shared" si="3"/>
        <v>9.1666666666666679</v>
      </c>
      <c r="S11" s="8">
        <f t="shared" si="4"/>
        <v>0.1349548420189895</v>
      </c>
      <c r="T11" s="23">
        <f t="shared" si="5"/>
        <v>0.39721154596602237</v>
      </c>
      <c r="U11" s="23">
        <f t="shared" si="6"/>
        <v>0.3560812743282401</v>
      </c>
      <c r="V11" s="7">
        <f t="shared" si="7"/>
        <v>0.28087892513290214</v>
      </c>
      <c r="W11" s="6">
        <f t="shared" si="8"/>
        <v>0.37664641014713124</v>
      </c>
    </row>
    <row r="13" spans="1:23" ht="23.5" x14ac:dyDescent="0.55000000000000004">
      <c r="A13" s="93" t="s">
        <v>88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</row>
    <row r="14" spans="1:23" ht="15" thickBot="1" x14ac:dyDescent="0.4">
      <c r="A14"/>
      <c r="B14"/>
      <c r="C14"/>
      <c r="D14"/>
      <c r="E14"/>
      <c r="F14"/>
      <c r="G14"/>
      <c r="H14"/>
      <c r="I14"/>
      <c r="J14"/>
      <c r="K14"/>
      <c r="L14"/>
      <c r="M14" s="5"/>
      <c r="O14" s="5"/>
    </row>
    <row r="15" spans="1:23" x14ac:dyDescent="0.35">
      <c r="A15" s="87" t="s">
        <v>89</v>
      </c>
      <c r="B15" s="88"/>
      <c r="C15" s="89"/>
      <c r="D15"/>
      <c r="E15" s="94" t="s">
        <v>90</v>
      </c>
      <c r="F15" s="95"/>
      <c r="G15" s="95"/>
      <c r="H15" s="96"/>
      <c r="I15"/>
      <c r="J15"/>
      <c r="K15"/>
      <c r="L15"/>
      <c r="M15" s="87" t="s">
        <v>83</v>
      </c>
      <c r="N15" s="88"/>
      <c r="O15" s="89"/>
      <c r="Q15" s="87" t="s">
        <v>84</v>
      </c>
      <c r="R15" s="88"/>
      <c r="S15" s="89"/>
    </row>
    <row r="16" spans="1:23" ht="15" thickBot="1" x14ac:dyDescent="0.4">
      <c r="A16" s="90"/>
      <c r="B16" s="91"/>
      <c r="C16" s="92"/>
      <c r="D16"/>
      <c r="E16" s="97"/>
      <c r="F16" s="98"/>
      <c r="G16" s="98"/>
      <c r="H16" s="99"/>
      <c r="I16"/>
      <c r="J16"/>
      <c r="K16"/>
      <c r="L16"/>
      <c r="M16" s="90"/>
      <c r="N16" s="91"/>
      <c r="O16" s="92"/>
      <c r="Q16" s="90"/>
      <c r="R16" s="91"/>
      <c r="S16" s="92"/>
    </row>
    <row r="17" spans="1:19" x14ac:dyDescent="0.35">
      <c r="A17" s="37">
        <v>1</v>
      </c>
      <c r="B17" s="37" t="str">
        <f>B2</f>
        <v>GT</v>
      </c>
      <c r="C17" s="38">
        <f>P2</f>
        <v>0.7142857142857143</v>
      </c>
      <c r="D17"/>
      <c r="E17" s="39">
        <v>1</v>
      </c>
      <c r="F17" t="str">
        <f t="shared" ref="F17:F26" si="10">INDEX($B$2:$B$11,
MATCH(LARGE($H$2:$H$11,ROW(A1)),$H$2:$H$11,0))</f>
        <v>GT</v>
      </c>
      <c r="G17"/>
      <c r="H17" s="40">
        <f>INDEX($S$2:$S$11, MATCH(F17,$B$2:$B$11,0))</f>
        <v>1</v>
      </c>
      <c r="I17"/>
      <c r="J17"/>
      <c r="K17"/>
      <c r="L17"/>
      <c r="M17" s="37">
        <v>1</v>
      </c>
      <c r="N17" t="str">
        <f>INDEX($B$2:$B$11,
MATCH(LARGE($T$2:$T$11,ROW(A1)),$T$2:$T$11,0))</f>
        <v>MI</v>
      </c>
      <c r="O17" s="40">
        <f>INDEX($T$2:$T$11, MATCH(N17,$B$2:$B$11,0))</f>
        <v>1</v>
      </c>
      <c r="Q17" s="37">
        <v>1</v>
      </c>
      <c r="R17" t="str">
        <f>INDEX($B$2:$B$11,
MATCH(LARGE($U$2:$U$11,ROW(A1)),$U$2:$U$11,0))</f>
        <v>GT</v>
      </c>
      <c r="S17" s="47">
        <f>INDEX($U$2:$U$11, MATCH(R17,$B$2:$B$11,0))</f>
        <v>1</v>
      </c>
    </row>
    <row r="18" spans="1:19" x14ac:dyDescent="0.35">
      <c r="A18" s="37">
        <v>2</v>
      </c>
      <c r="B18" s="37" t="str">
        <f t="shared" ref="B18:B26" si="11">B3</f>
        <v>CSK</v>
      </c>
      <c r="C18" s="38">
        <f t="shared" ref="C18:C26" si="12">P3</f>
        <v>0.5714285714285714</v>
      </c>
      <c r="D18"/>
      <c r="E18" s="41">
        <v>2</v>
      </c>
      <c r="F18" t="str">
        <f t="shared" si="10"/>
        <v>CSK</v>
      </c>
      <c r="G18"/>
      <c r="H18" s="40">
        <f t="shared" ref="H18:H26" si="13">INDEX($S$2:$S$11, MATCH(F18,$B$2:$B$11,0))</f>
        <v>0.90133796726744886</v>
      </c>
      <c r="I18"/>
      <c r="J18"/>
      <c r="K18"/>
      <c r="L18"/>
      <c r="M18" s="37">
        <v>2</v>
      </c>
      <c r="N18" t="str">
        <f t="shared" ref="N18:N26" si="14">INDEX($B$2:$B$11,
MATCH(LARGE($T$2:$T$11,ROW(A2)),$T$2:$T$11,0))</f>
        <v>CSK</v>
      </c>
      <c r="O18" s="40">
        <f t="shared" ref="O18:O26" si="15">INDEX($T$2:$T$11, MATCH(N18,$B$2:$B$11,0))</f>
        <v>0.83750009888251387</v>
      </c>
      <c r="Q18" s="37">
        <v>2</v>
      </c>
      <c r="R18" t="str">
        <f t="shared" ref="R18:R25" si="16">INDEX($B$2:$B$11,
MATCH(LARGE($U$2:$U$11,ROW(A2)),$U$2:$U$11,0))</f>
        <v>LSG</v>
      </c>
      <c r="S18" s="47">
        <f t="shared" ref="S18:S26" si="17">INDEX($U$2:$U$11, MATCH(R18,$B$2:$B$11,0))</f>
        <v>0.83423571616173409</v>
      </c>
    </row>
    <row r="19" spans="1:19" x14ac:dyDescent="0.35">
      <c r="A19" s="37">
        <v>3</v>
      </c>
      <c r="B19" s="37" t="str">
        <f t="shared" si="11"/>
        <v>LSG</v>
      </c>
      <c r="C19" s="38">
        <f t="shared" si="12"/>
        <v>0.5714285714285714</v>
      </c>
      <c r="D19"/>
      <c r="E19" s="41">
        <v>3</v>
      </c>
      <c r="F19" t="str">
        <f t="shared" si="10"/>
        <v>LSG</v>
      </c>
      <c r="G19"/>
      <c r="H19" s="40">
        <f t="shared" si="13"/>
        <v>0.67541728276350554</v>
      </c>
      <c r="I19"/>
      <c r="J19"/>
      <c r="K19"/>
      <c r="L19"/>
      <c r="M19" s="37">
        <v>3</v>
      </c>
      <c r="N19" t="str">
        <f t="shared" si="14"/>
        <v>PBKS</v>
      </c>
      <c r="O19" s="40">
        <f t="shared" si="15"/>
        <v>0.73688935957142876</v>
      </c>
      <c r="Q19" s="37">
        <v>3</v>
      </c>
      <c r="R19" t="str">
        <f t="shared" si="16"/>
        <v>CSK</v>
      </c>
      <c r="S19" s="47">
        <f t="shared" si="17"/>
        <v>0.74033124485229451</v>
      </c>
    </row>
    <row r="20" spans="1:19" x14ac:dyDescent="0.35">
      <c r="A20" s="37">
        <v>4</v>
      </c>
      <c r="B20" s="37" t="str">
        <f t="shared" si="11"/>
        <v>MI</v>
      </c>
      <c r="C20" s="38">
        <f t="shared" si="12"/>
        <v>0.5714285714285714</v>
      </c>
      <c r="D20"/>
      <c r="E20" s="41">
        <v>4</v>
      </c>
      <c r="F20" t="str">
        <f t="shared" si="10"/>
        <v>RR</v>
      </c>
      <c r="G20"/>
      <c r="H20" s="40">
        <f t="shared" si="13"/>
        <v>0.59093891974528956</v>
      </c>
      <c r="I20"/>
      <c r="J20"/>
      <c r="K20"/>
      <c r="L20"/>
      <c r="M20" s="37">
        <v>4</v>
      </c>
      <c r="N20" t="str">
        <f t="shared" si="14"/>
        <v>GT</v>
      </c>
      <c r="O20" s="40">
        <f t="shared" si="15"/>
        <v>0.73213478197219162</v>
      </c>
      <c r="Q20" s="37">
        <v>4</v>
      </c>
      <c r="R20" t="str">
        <f t="shared" si="16"/>
        <v>DC</v>
      </c>
      <c r="S20" s="47">
        <f t="shared" si="17"/>
        <v>0.70309482114587529</v>
      </c>
    </row>
    <row r="21" spans="1:19" x14ac:dyDescent="0.35">
      <c r="A21" s="37">
        <v>5</v>
      </c>
      <c r="B21" s="37" t="str">
        <f t="shared" si="11"/>
        <v>RR</v>
      </c>
      <c r="C21" s="38">
        <f t="shared" si="12"/>
        <v>0.5</v>
      </c>
      <c r="D21"/>
      <c r="E21" s="41">
        <v>5</v>
      </c>
      <c r="F21" t="str">
        <f t="shared" si="10"/>
        <v>RCB</v>
      </c>
      <c r="G21"/>
      <c r="H21" s="40">
        <f t="shared" si="13"/>
        <v>0.58706649308311198</v>
      </c>
      <c r="I21"/>
      <c r="J21"/>
      <c r="K21"/>
      <c r="L21"/>
      <c r="M21" s="37">
        <v>5</v>
      </c>
      <c r="N21" t="str">
        <f t="shared" si="14"/>
        <v>RCB</v>
      </c>
      <c r="O21" s="40">
        <f t="shared" si="15"/>
        <v>0.70040781098971927</v>
      </c>
      <c r="Q21" s="37">
        <v>5</v>
      </c>
      <c r="R21" t="str">
        <f t="shared" si="16"/>
        <v>RR</v>
      </c>
      <c r="S21" s="47">
        <f t="shared" si="17"/>
        <v>0.68135114171902778</v>
      </c>
    </row>
    <row r="22" spans="1:19" x14ac:dyDescent="0.35">
      <c r="A22" s="37">
        <v>6</v>
      </c>
      <c r="B22" s="37" t="str">
        <f t="shared" si="11"/>
        <v>RCB</v>
      </c>
      <c r="C22" s="38">
        <f t="shared" si="12"/>
        <v>0.5</v>
      </c>
      <c r="D22"/>
      <c r="E22" s="41">
        <v>6</v>
      </c>
      <c r="F22" t="str">
        <f t="shared" si="10"/>
        <v>MI</v>
      </c>
      <c r="G22"/>
      <c r="H22" s="40">
        <f t="shared" si="13"/>
        <v>0.47655050641300151</v>
      </c>
      <c r="I22"/>
      <c r="J22"/>
      <c r="K22"/>
      <c r="L22"/>
      <c r="M22" s="37">
        <v>6</v>
      </c>
      <c r="N22" t="str">
        <f t="shared" si="14"/>
        <v>KKR</v>
      </c>
      <c r="O22" s="40">
        <f t="shared" si="15"/>
        <v>0.63759553386567169</v>
      </c>
      <c r="Q22" s="37">
        <v>6</v>
      </c>
      <c r="R22" t="str">
        <f t="shared" si="16"/>
        <v>RCB</v>
      </c>
      <c r="S22" s="47">
        <f t="shared" si="17"/>
        <v>0.52639024111455235</v>
      </c>
    </row>
    <row r="23" spans="1:19" x14ac:dyDescent="0.35">
      <c r="A23" s="37">
        <v>7</v>
      </c>
      <c r="B23" s="37" t="str">
        <f t="shared" si="11"/>
        <v>KKR</v>
      </c>
      <c r="C23" s="38">
        <f t="shared" si="12"/>
        <v>0.42857142857142855</v>
      </c>
      <c r="D23"/>
      <c r="E23" s="41">
        <v>7</v>
      </c>
      <c r="F23" t="str">
        <f t="shared" si="10"/>
        <v>KKR</v>
      </c>
      <c r="G23"/>
      <c r="H23" s="40">
        <f t="shared" si="13"/>
        <v>0.35699409981464691</v>
      </c>
      <c r="I23"/>
      <c r="J23"/>
      <c r="K23"/>
      <c r="L23"/>
      <c r="M23" s="37">
        <v>7</v>
      </c>
      <c r="N23" t="str">
        <f t="shared" si="14"/>
        <v>RR</v>
      </c>
      <c r="O23" s="40">
        <f t="shared" si="15"/>
        <v>0.58466808548760174</v>
      </c>
      <c r="Q23" s="37">
        <v>7</v>
      </c>
      <c r="R23" t="str">
        <f t="shared" si="16"/>
        <v>SRH</v>
      </c>
      <c r="S23" s="47">
        <f t="shared" si="17"/>
        <v>0.3560812743282401</v>
      </c>
    </row>
    <row r="24" spans="1:19" x14ac:dyDescent="0.35">
      <c r="A24" s="37">
        <v>8</v>
      </c>
      <c r="B24" s="37" t="str">
        <f t="shared" si="11"/>
        <v>PBKS</v>
      </c>
      <c r="C24" s="38">
        <f t="shared" si="12"/>
        <v>0.42857142857142855</v>
      </c>
      <c r="D24"/>
      <c r="E24" s="41">
        <v>8</v>
      </c>
      <c r="F24" t="str">
        <f t="shared" si="10"/>
        <v>PBKS</v>
      </c>
      <c r="G24"/>
      <c r="H24" s="40">
        <f t="shared" si="13"/>
        <v>0.31279846471376538</v>
      </c>
      <c r="I24"/>
      <c r="J24"/>
      <c r="K24"/>
      <c r="L24"/>
      <c r="M24" s="37">
        <v>8</v>
      </c>
      <c r="N24" t="str">
        <f t="shared" si="14"/>
        <v>LSG</v>
      </c>
      <c r="O24" s="40">
        <f t="shared" si="15"/>
        <v>0.54799314651467967</v>
      </c>
      <c r="Q24" s="37">
        <v>8</v>
      </c>
      <c r="R24" t="str">
        <f t="shared" si="16"/>
        <v>KKR</v>
      </c>
      <c r="S24" s="47">
        <f t="shared" si="17"/>
        <v>0.32105878571637908</v>
      </c>
    </row>
    <row r="25" spans="1:19" x14ac:dyDescent="0.35">
      <c r="A25" s="37">
        <v>9</v>
      </c>
      <c r="B25" s="37" t="str">
        <f t="shared" si="11"/>
        <v>DC</v>
      </c>
      <c r="C25" s="38">
        <f t="shared" si="12"/>
        <v>0.35714285714285715</v>
      </c>
      <c r="D25"/>
      <c r="E25" s="41">
        <v>9</v>
      </c>
      <c r="F25" t="str">
        <f t="shared" si="10"/>
        <v>SRH</v>
      </c>
      <c r="G25"/>
      <c r="H25" s="40">
        <f t="shared" si="13"/>
        <v>0.1349548420189895</v>
      </c>
      <c r="I25"/>
      <c r="J25"/>
      <c r="K25"/>
      <c r="L25"/>
      <c r="M25" s="37">
        <v>9</v>
      </c>
      <c r="N25" t="str">
        <f t="shared" si="14"/>
        <v>SRH</v>
      </c>
      <c r="O25" s="40">
        <f t="shared" si="15"/>
        <v>0.39721154596602237</v>
      </c>
      <c r="Q25" s="37">
        <v>9</v>
      </c>
      <c r="R25" t="str">
        <f t="shared" si="16"/>
        <v>PBKS</v>
      </c>
      <c r="S25" s="47">
        <f t="shared" si="17"/>
        <v>0.13716382646874406</v>
      </c>
    </row>
    <row r="26" spans="1:19" ht="15" thickBot="1" x14ac:dyDescent="0.4">
      <c r="A26" s="37">
        <v>10</v>
      </c>
      <c r="B26" s="37" t="str">
        <f t="shared" si="11"/>
        <v>SRH</v>
      </c>
      <c r="C26" s="38">
        <f t="shared" si="12"/>
        <v>0.2857142857142857</v>
      </c>
      <c r="D26"/>
      <c r="E26" s="42">
        <v>10</v>
      </c>
      <c r="F26" s="43" t="str">
        <f t="shared" si="10"/>
        <v>DC</v>
      </c>
      <c r="G26" s="43"/>
      <c r="H26" s="44">
        <f t="shared" si="13"/>
        <v>0</v>
      </c>
      <c r="I26"/>
      <c r="J26"/>
      <c r="K26"/>
      <c r="L26"/>
      <c r="M26" s="37">
        <v>10</v>
      </c>
      <c r="N26" t="str">
        <f t="shared" si="14"/>
        <v>DC</v>
      </c>
      <c r="O26" s="40">
        <f t="shared" si="15"/>
        <v>0</v>
      </c>
      <c r="Q26" s="37">
        <v>10</v>
      </c>
      <c r="R26" s="48" t="str">
        <f>INDEX($B$2:$B$11,
MATCH(LARGE($U$2:$U$11,ROW(A10)),$U$2:$U$11,0))</f>
        <v>MI</v>
      </c>
      <c r="S26" s="49">
        <f t="shared" si="17"/>
        <v>0</v>
      </c>
    </row>
    <row r="27" spans="1:19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O27" s="40"/>
    </row>
    <row r="28" spans="1:19" x14ac:dyDescent="0.35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9" x14ac:dyDescent="0.35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9" x14ac:dyDescent="0.35">
      <c r="A30"/>
      <c r="B30"/>
      <c r="C30" s="87" t="s">
        <v>91</v>
      </c>
      <c r="D30" s="88"/>
      <c r="E30" s="89"/>
      <c r="F30"/>
      <c r="G30"/>
      <c r="H30"/>
      <c r="I30"/>
      <c r="J30"/>
      <c r="K30"/>
      <c r="L30"/>
      <c r="M30" s="87" t="s">
        <v>93</v>
      </c>
      <c r="N30" s="88"/>
      <c r="O30" s="89"/>
    </row>
    <row r="31" spans="1:19" x14ac:dyDescent="0.35">
      <c r="A31"/>
      <c r="B31"/>
      <c r="C31" s="90"/>
      <c r="D31" s="91"/>
      <c r="E31" s="92"/>
      <c r="F31"/>
      <c r="G31"/>
      <c r="H31"/>
      <c r="I31"/>
      <c r="J31"/>
      <c r="K31"/>
      <c r="L31"/>
      <c r="M31" s="90"/>
      <c r="N31" s="91"/>
      <c r="O31" s="92"/>
    </row>
    <row r="32" spans="1:19" x14ac:dyDescent="0.35">
      <c r="A32"/>
      <c r="B32"/>
      <c r="C32" s="45">
        <v>1</v>
      </c>
      <c r="D32" t="str">
        <f>INDEX($B$2:$B$11,
MATCH(LARGE($V$2:$V$11,ROW(A1)),$V$2:$V$11,0))</f>
        <v>GT</v>
      </c>
      <c r="E32" s="46">
        <f>INDEX($V$2:$V$11, MATCH(D32,$B$2:$B$11,0))</f>
        <v>0.8321412421087242</v>
      </c>
      <c r="F32"/>
      <c r="G32"/>
      <c r="H32"/>
      <c r="I32"/>
      <c r="J32"/>
      <c r="K32"/>
      <c r="L32"/>
      <c r="M32" s="37">
        <v>1</v>
      </c>
      <c r="N32" t="str">
        <f>INDEX($B$2:$B$11,
MATCH(LARGE($W$2:$W$11,ROW(A1)),$W$2:$W$11,0))</f>
        <v>GT</v>
      </c>
      <c r="O32" s="47">
        <f>INDEX($W$2:$W$11, MATCH(N32,$B$2:$B$11,0))</f>
        <v>0.86606739098609586</v>
      </c>
    </row>
    <row r="33" spans="1:15" x14ac:dyDescent="0.35">
      <c r="A33"/>
      <c r="B33"/>
      <c r="C33" s="45">
        <v>2</v>
      </c>
      <c r="D33" t="str">
        <f t="shared" ref="D33:D41" si="18">INDEX($B$2:$B$11,
MATCH(LARGE($V$2:$V$11,ROW(A2)),$V$2:$V$11,0))</f>
        <v>CSK</v>
      </c>
      <c r="E33" s="46">
        <f t="shared" ref="E33:E41" si="19">INDEX($V$2:$V$11, MATCH(D33,$B$2:$B$11,0))</f>
        <v>0.73245562689263777</v>
      </c>
      <c r="F33"/>
      <c r="G33"/>
      <c r="H33"/>
      <c r="I33"/>
      <c r="J33"/>
      <c r="K33"/>
      <c r="L33"/>
      <c r="M33" s="37">
        <v>2</v>
      </c>
      <c r="N33" t="str">
        <f t="shared" ref="N33:N41" si="20">INDEX($B$2:$B$11,
MATCH(LARGE($W$2:$W$11,ROW(A2)),$W$2:$W$11,0))</f>
        <v>CSK</v>
      </c>
      <c r="O33" s="47">
        <f t="shared" ref="O33:O41" si="21">INDEX($W$2:$W$11, MATCH(N33,$B$2:$B$11,0))</f>
        <v>0.78891567186740419</v>
      </c>
    </row>
    <row r="34" spans="1:15" x14ac:dyDescent="0.35">
      <c r="A34"/>
      <c r="B34"/>
      <c r="C34" s="45">
        <v>3</v>
      </c>
      <c r="D34" t="str">
        <f t="shared" si="18"/>
        <v>LSG</v>
      </c>
      <c r="E34" s="46">
        <f t="shared" si="19"/>
        <v>0.63215973598950093</v>
      </c>
      <c r="F34"/>
      <c r="G34"/>
      <c r="H34"/>
      <c r="I34"/>
      <c r="J34"/>
      <c r="K34"/>
      <c r="L34"/>
      <c r="M34" s="37">
        <v>3</v>
      </c>
      <c r="N34" t="str">
        <f t="shared" si="20"/>
        <v>LSG</v>
      </c>
      <c r="O34" s="47">
        <f t="shared" si="21"/>
        <v>0.69111443133820694</v>
      </c>
    </row>
    <row r="35" spans="1:15" x14ac:dyDescent="0.35">
      <c r="A35"/>
      <c r="B35"/>
      <c r="C35" s="45">
        <v>4</v>
      </c>
      <c r="D35" t="str">
        <f t="shared" si="18"/>
        <v>RR</v>
      </c>
      <c r="E35" s="46">
        <f t="shared" si="19"/>
        <v>0.56687101829169695</v>
      </c>
      <c r="F35"/>
      <c r="G35"/>
      <c r="H35"/>
      <c r="I35"/>
      <c r="J35"/>
      <c r="K35"/>
      <c r="L35"/>
      <c r="M35" s="37">
        <v>4</v>
      </c>
      <c r="N35" t="str">
        <f t="shared" si="20"/>
        <v>RR</v>
      </c>
      <c r="O35" s="47">
        <f t="shared" si="21"/>
        <v>0.63300961360331476</v>
      </c>
    </row>
    <row r="36" spans="1:15" x14ac:dyDescent="0.35">
      <c r="A36"/>
      <c r="B36"/>
      <c r="C36" s="45">
        <v>5</v>
      </c>
      <c r="D36" t="str">
        <f t="shared" si="18"/>
        <v>RCB</v>
      </c>
      <c r="E36" s="46">
        <f t="shared" si="19"/>
        <v>0.56580672163590473</v>
      </c>
      <c r="F36"/>
      <c r="G36"/>
      <c r="H36"/>
      <c r="I36"/>
      <c r="J36"/>
      <c r="K36"/>
      <c r="L36"/>
      <c r="M36" s="37">
        <v>5</v>
      </c>
      <c r="N36" t="str">
        <f t="shared" si="20"/>
        <v>RCB</v>
      </c>
      <c r="O36" s="47">
        <f t="shared" si="21"/>
        <v>0.61339902605213581</v>
      </c>
    </row>
    <row r="37" spans="1:15" x14ac:dyDescent="0.35">
      <c r="A37"/>
      <c r="B37"/>
      <c r="C37" s="45">
        <v>6</v>
      </c>
      <c r="D37" t="str">
        <f t="shared" si="18"/>
        <v>MI</v>
      </c>
      <c r="E37" s="46">
        <f t="shared" si="19"/>
        <v>0.54770905517467894</v>
      </c>
      <c r="F37"/>
      <c r="G37"/>
      <c r="H37"/>
      <c r="I37"/>
      <c r="J37"/>
      <c r="K37"/>
      <c r="L37"/>
      <c r="M37" s="37">
        <v>6</v>
      </c>
      <c r="N37" t="str">
        <f t="shared" si="20"/>
        <v>MI</v>
      </c>
      <c r="O37" s="47">
        <f t="shared" si="21"/>
        <v>0.5</v>
      </c>
    </row>
    <row r="38" spans="1:15" x14ac:dyDescent="0.35">
      <c r="A38"/>
      <c r="B38"/>
      <c r="C38" s="45">
        <v>7</v>
      </c>
      <c r="D38" t="str">
        <f t="shared" si="18"/>
        <v>KKR</v>
      </c>
      <c r="E38" s="46">
        <f t="shared" si="19"/>
        <v>0.43635502101282436</v>
      </c>
      <c r="F38"/>
      <c r="G38"/>
      <c r="H38"/>
      <c r="I38"/>
      <c r="J38"/>
      <c r="K38"/>
      <c r="L38"/>
      <c r="M38" s="37">
        <v>7</v>
      </c>
      <c r="N38" t="str">
        <f t="shared" si="20"/>
        <v>KKR</v>
      </c>
      <c r="O38" s="47">
        <f t="shared" si="21"/>
        <v>0.47932715979102536</v>
      </c>
    </row>
    <row r="39" spans="1:15" x14ac:dyDescent="0.35">
      <c r="A39"/>
      <c r="B39"/>
      <c r="C39" s="45">
        <v>8</v>
      </c>
      <c r="D39" t="str">
        <f t="shared" si="18"/>
        <v>PBKS</v>
      </c>
      <c r="E39" s="46">
        <f t="shared" si="19"/>
        <v>0.41758063349161012</v>
      </c>
      <c r="F39"/>
      <c r="G39"/>
      <c r="H39"/>
      <c r="I39"/>
      <c r="J39"/>
      <c r="K39"/>
      <c r="L39"/>
      <c r="M39" s="37">
        <v>8</v>
      </c>
      <c r="N39" t="str">
        <f t="shared" si="20"/>
        <v>PBKS</v>
      </c>
      <c r="O39" s="47">
        <f t="shared" si="21"/>
        <v>0.4370265930200864</v>
      </c>
    </row>
    <row r="40" spans="1:15" x14ac:dyDescent="0.35">
      <c r="A40"/>
      <c r="B40"/>
      <c r="C40" s="45">
        <v>9</v>
      </c>
      <c r="D40" t="str">
        <f t="shared" si="18"/>
        <v>SRH</v>
      </c>
      <c r="E40" s="46">
        <f t="shared" si="19"/>
        <v>0.28087892513290214</v>
      </c>
      <c r="F40"/>
      <c r="G40"/>
      <c r="H40"/>
      <c r="I40"/>
      <c r="J40"/>
      <c r="K40"/>
      <c r="L40"/>
      <c r="M40" s="37">
        <v>9</v>
      </c>
      <c r="N40" t="str">
        <f t="shared" si="20"/>
        <v>SRH</v>
      </c>
      <c r="O40" s="47">
        <f t="shared" si="21"/>
        <v>0.37664641014713124</v>
      </c>
    </row>
    <row r="41" spans="1:15" x14ac:dyDescent="0.35">
      <c r="A41"/>
      <c r="B41"/>
      <c r="C41" s="45">
        <v>10</v>
      </c>
      <c r="D41" t="str">
        <f t="shared" si="18"/>
        <v>DC</v>
      </c>
      <c r="E41" s="46">
        <f t="shared" si="19"/>
        <v>0.24832136602902416</v>
      </c>
      <c r="F41"/>
      <c r="G41"/>
      <c r="H41"/>
      <c r="I41"/>
      <c r="J41"/>
      <c r="K41"/>
      <c r="L41"/>
      <c r="M41" s="37">
        <v>10</v>
      </c>
      <c r="N41" s="48" t="str">
        <f t="shared" si="20"/>
        <v>DC</v>
      </c>
      <c r="O41" s="49">
        <f t="shared" si="21"/>
        <v>0.35154741057293765</v>
      </c>
    </row>
  </sheetData>
  <mergeCells count="7">
    <mergeCell ref="M15:O16"/>
    <mergeCell ref="Q15:S16"/>
    <mergeCell ref="C30:E31"/>
    <mergeCell ref="M30:O31"/>
    <mergeCell ref="A13:S13"/>
    <mergeCell ref="A15:C16"/>
    <mergeCell ref="E15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5B2D-B010-439D-BB31-298E26DE2203}">
  <dimension ref="A1:W41"/>
  <sheetViews>
    <sheetView workbookViewId="0">
      <selection activeCell="H32" sqref="H32"/>
    </sheetView>
  </sheetViews>
  <sheetFormatPr defaultRowHeight="14.5" x14ac:dyDescent="0.35"/>
  <cols>
    <col min="1" max="1" width="4.90625" bestFit="1" customWidth="1"/>
    <col min="2" max="2" width="5.453125" customWidth="1"/>
    <col min="3" max="3" width="7.90625" bestFit="1" customWidth="1"/>
    <col min="4" max="4" width="5" bestFit="1" customWidth="1"/>
    <col min="5" max="5" width="9.26953125" customWidth="1"/>
    <col min="6" max="6" width="8.7265625" bestFit="1" customWidth="1"/>
    <col min="7" max="7" width="9.26953125" style="36" customWidth="1"/>
    <col min="8" max="8" width="9.7265625" bestFit="1" customWidth="1"/>
    <col min="9" max="9" width="10.90625" style="36" hidden="1" customWidth="1"/>
    <col min="10" max="10" width="10.90625" hidden="1" customWidth="1"/>
    <col min="11" max="11" width="10.90625" customWidth="1"/>
    <col min="12" max="12" width="10.90625" style="36" hidden="1" customWidth="1"/>
    <col min="13" max="14" width="10.90625" customWidth="1"/>
    <col min="16" max="16" width="10.1796875" customWidth="1"/>
    <col min="22" max="22" width="8.36328125" customWidth="1"/>
    <col min="23" max="23" width="11.54296875" bestFit="1" customWidth="1"/>
  </cols>
  <sheetData>
    <row r="1" spans="1:23" s="16" customFormat="1" ht="43.5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34" t="s">
        <v>6</v>
      </c>
      <c r="H1" s="14" t="s">
        <v>6</v>
      </c>
      <c r="I1" s="34"/>
      <c r="J1" s="14" t="s">
        <v>7</v>
      </c>
      <c r="K1" s="14" t="s">
        <v>79</v>
      </c>
      <c r="L1" s="34" t="s">
        <v>8</v>
      </c>
      <c r="M1" s="14" t="s">
        <v>8</v>
      </c>
      <c r="N1" s="27" t="s">
        <v>80</v>
      </c>
      <c r="O1" s="14" t="s">
        <v>9</v>
      </c>
      <c r="P1" s="30" t="s">
        <v>81</v>
      </c>
      <c r="Q1" s="30" t="s">
        <v>85</v>
      </c>
      <c r="R1" s="30" t="s">
        <v>86</v>
      </c>
      <c r="S1" s="30" t="s">
        <v>82</v>
      </c>
      <c r="T1" s="30" t="s">
        <v>83</v>
      </c>
      <c r="U1" s="31" t="s">
        <v>84</v>
      </c>
      <c r="V1" s="32" t="s">
        <v>87</v>
      </c>
      <c r="W1" s="19" t="s">
        <v>94</v>
      </c>
    </row>
    <row r="2" spans="1:23" x14ac:dyDescent="0.35">
      <c r="A2" s="1">
        <v>1</v>
      </c>
      <c r="B2" s="1" t="s">
        <v>28</v>
      </c>
      <c r="C2" s="1">
        <v>14</v>
      </c>
      <c r="D2" s="1">
        <v>9</v>
      </c>
      <c r="E2" s="1">
        <v>3</v>
      </c>
      <c r="F2" s="1">
        <v>2</v>
      </c>
      <c r="G2" s="35">
        <v>1.4279999999999999</v>
      </c>
      <c r="H2" s="3">
        <f>J2/K2 - M2/N2</f>
        <v>1.4231180017226528</v>
      </c>
      <c r="I2" s="35" t="s">
        <v>60</v>
      </c>
      <c r="J2" s="1">
        <v>2389</v>
      </c>
      <c r="K2" s="1">
        <v>225</v>
      </c>
      <c r="L2" s="1">
        <v>225</v>
      </c>
      <c r="M2" s="1">
        <v>2135</v>
      </c>
      <c r="N2" s="1">
        <v>232.2</v>
      </c>
      <c r="O2" s="1">
        <f t="shared" ref="O2:O11" si="0">D2*2 + F2*1</f>
        <v>20</v>
      </c>
      <c r="P2" s="8">
        <f>D2/C2</f>
        <v>0.6428571428571429</v>
      </c>
      <c r="Q2" s="22">
        <f>J2/K2</f>
        <v>10.617777777777778</v>
      </c>
      <c r="R2" s="22">
        <f>M2/N2</f>
        <v>9.1946597760551256</v>
      </c>
      <c r="S2" s="8">
        <f>(H2-MIN($H$2:$H$11))/(MAX($H$2:$H$11)-MIN($H$2:$H$11))</f>
        <v>1</v>
      </c>
      <c r="T2" s="23">
        <f>(Q2 - MIN($Q$2:$Q$11)) / (MAX($Q$2:$Q$11) - MIN($Q$2:$Q$11))</f>
        <v>1</v>
      </c>
      <c r="U2" s="23">
        <f>(MAX($R$2:$R$11) - R2) / (MAX($R$2:$R$11) - MIN($R$2:$R$11))</f>
        <v>0.70781197434796017</v>
      </c>
      <c r="V2" s="9">
        <f>0.4*P2 + 0.25*S2 + 0.2*T2 + 0.15*U2</f>
        <v>0.81331465329505104</v>
      </c>
      <c r="W2" s="6">
        <f>AVERAGE(T2,U2)</f>
        <v>0.85390598717398003</v>
      </c>
    </row>
    <row r="3" spans="1:23" x14ac:dyDescent="0.35">
      <c r="A3" s="1">
        <v>2</v>
      </c>
      <c r="B3" s="1" t="s">
        <v>37</v>
      </c>
      <c r="C3" s="1">
        <v>14</v>
      </c>
      <c r="D3" s="1">
        <v>8</v>
      </c>
      <c r="E3" s="1">
        <v>5</v>
      </c>
      <c r="F3" s="1">
        <v>1</v>
      </c>
      <c r="G3" s="35">
        <v>0.41399999999999998</v>
      </c>
      <c r="H3" s="3">
        <f>J3/K3 - M3/N3</f>
        <v>0.40609830648231338</v>
      </c>
      <c r="I3" s="35" t="s">
        <v>61</v>
      </c>
      <c r="J3" s="1">
        <v>2605</v>
      </c>
      <c r="K3" s="1">
        <v>247</v>
      </c>
      <c r="L3" s="35" t="s">
        <v>62</v>
      </c>
      <c r="M3" s="1">
        <v>2599</v>
      </c>
      <c r="N3" s="1">
        <v>256.3</v>
      </c>
      <c r="O3" s="1">
        <f t="shared" si="0"/>
        <v>17</v>
      </c>
      <c r="P3" s="8">
        <f t="shared" ref="P3:P11" si="1">D3/C3</f>
        <v>0.5714285714285714</v>
      </c>
      <c r="Q3" s="22">
        <f t="shared" ref="Q3:Q11" si="2">J3/K3</f>
        <v>10.546558704453441</v>
      </c>
      <c r="R3" s="22">
        <f t="shared" ref="R3:R11" si="3">M3/N3</f>
        <v>10.140460397971127</v>
      </c>
      <c r="S3" s="8">
        <f t="shared" ref="S3:S11" si="4">(H3-MIN($H$2:$H$11))/(MAX($H$2:$H$11)-MIN($H$2:$H$11))</f>
        <v>0.59117534057255783</v>
      </c>
      <c r="T3" s="23">
        <f>(Q3 - MIN($Q$2:$Q$11)) / (MAX($Q$2:$Q$11) - MIN($Q$2:$Q$11))</f>
        <v>0.96531897900216168</v>
      </c>
      <c r="U3" s="23">
        <f>(MAX($R$2:$R$11) - R3) / (MAX($R$2:$R$11) - MIN($R$2:$R$11))</f>
        <v>0</v>
      </c>
      <c r="V3" s="9">
        <f t="shared" ref="V3:V11" si="5">0.4*P3 + 0.25*S3 + 0.2*T3 + 0.15*U3</f>
        <v>0.56942905951500034</v>
      </c>
      <c r="W3" s="6">
        <f t="shared" ref="W3:W11" si="6">AVERAGE(T3,U3)</f>
        <v>0.48265948950108084</v>
      </c>
    </row>
    <row r="4" spans="1:23" x14ac:dyDescent="0.35">
      <c r="A4" s="1">
        <v>3</v>
      </c>
      <c r="B4" s="1" t="s">
        <v>22</v>
      </c>
      <c r="C4" s="1">
        <v>14</v>
      </c>
      <c r="D4" s="1">
        <v>8</v>
      </c>
      <c r="E4" s="1">
        <v>5</v>
      </c>
      <c r="F4" s="1">
        <v>1</v>
      </c>
      <c r="G4" s="35">
        <v>0.27300000000000002</v>
      </c>
      <c r="H4" s="3">
        <f t="shared" ref="H4:H11" si="7">J4/K4 - M4/N4</f>
        <v>0.2734000556353493</v>
      </c>
      <c r="I4" s="35" t="s">
        <v>63</v>
      </c>
      <c r="J4" s="1">
        <v>2334</v>
      </c>
      <c r="K4" s="1">
        <v>252.1</v>
      </c>
      <c r="L4" s="35" t="s">
        <v>64</v>
      </c>
      <c r="M4" s="1">
        <v>2310</v>
      </c>
      <c r="N4" s="1">
        <v>257.10000000000002</v>
      </c>
      <c r="O4" s="1">
        <f t="shared" si="0"/>
        <v>17</v>
      </c>
      <c r="P4" s="8">
        <f t="shared" si="1"/>
        <v>0.5714285714285714</v>
      </c>
      <c r="Q4" s="22">
        <f t="shared" si="2"/>
        <v>9.2582308607695367</v>
      </c>
      <c r="R4" s="22">
        <f t="shared" si="3"/>
        <v>8.9848308051341874</v>
      </c>
      <c r="S4" s="8">
        <f t="shared" si="4"/>
        <v>0.53783289552157276</v>
      </c>
      <c r="T4" s="23">
        <f t="shared" ref="T4:T11" si="8">(Q4 - MIN($Q$2:$Q$11)) / (MAX($Q$2:$Q$11) - MIN($Q$2:$Q$11))</f>
        <v>0.33795157707849105</v>
      </c>
      <c r="U4" s="23">
        <f t="shared" ref="U4:U11" si="9">(MAX($R$2:$R$11) - R4) / (MAX($R$2:$R$11) - MIN($R$2:$R$11))</f>
        <v>0.86484238302128025</v>
      </c>
      <c r="V4" s="9">
        <f t="shared" si="5"/>
        <v>0.56034632532071194</v>
      </c>
      <c r="W4" s="6">
        <f t="shared" si="6"/>
        <v>0.60139698004988562</v>
      </c>
    </row>
    <row r="5" spans="1:23" x14ac:dyDescent="0.35">
      <c r="A5" s="1">
        <v>4</v>
      </c>
      <c r="B5" s="1" t="s">
        <v>25</v>
      </c>
      <c r="C5" s="1">
        <v>14</v>
      </c>
      <c r="D5" s="1">
        <v>7</v>
      </c>
      <c r="E5" s="1">
        <v>7</v>
      </c>
      <c r="F5" s="1">
        <v>0</v>
      </c>
      <c r="G5" s="35">
        <v>0.45900000000000002</v>
      </c>
      <c r="H5" s="3">
        <f t="shared" si="7"/>
        <v>0.4564163899092879</v>
      </c>
      <c r="I5" s="35" t="s">
        <v>65</v>
      </c>
      <c r="J5" s="1">
        <v>2758</v>
      </c>
      <c r="K5" s="1">
        <v>269</v>
      </c>
      <c r="L5" s="35" t="s">
        <v>66</v>
      </c>
      <c r="M5" s="1">
        <v>2646</v>
      </c>
      <c r="N5" s="1">
        <v>270.10000000000002</v>
      </c>
      <c r="O5" s="1">
        <f t="shared" si="0"/>
        <v>14</v>
      </c>
      <c r="P5" s="8">
        <f t="shared" si="1"/>
        <v>0.5</v>
      </c>
      <c r="Q5" s="22">
        <f t="shared" si="2"/>
        <v>10.25278810408922</v>
      </c>
      <c r="R5" s="22">
        <f t="shared" si="3"/>
        <v>9.7963717141799318</v>
      </c>
      <c r="S5" s="8">
        <f>(H5-MIN($H$2:$H$11))/(MAX($H$2:$H$11)-MIN($H$2:$H$11))</f>
        <v>0.61140235625017769</v>
      </c>
      <c r="T5" s="23">
        <f t="shared" si="8"/>
        <v>0.82226370063058174</v>
      </c>
      <c r="U5" s="23">
        <f>(MAX($R$2:$R$11) - R5) / (MAX($R$2:$R$11) - MIN($R$2:$R$11))</f>
        <v>0.25750679898227763</v>
      </c>
      <c r="V5" s="9">
        <f t="shared" si="5"/>
        <v>0.55592934903600233</v>
      </c>
      <c r="W5" s="6">
        <f t="shared" si="6"/>
        <v>0.53988524980642971</v>
      </c>
    </row>
    <row r="6" spans="1:23" x14ac:dyDescent="0.35">
      <c r="A6" s="1">
        <v>5</v>
      </c>
      <c r="B6" s="1" t="s">
        <v>13</v>
      </c>
      <c r="C6" s="1">
        <v>14</v>
      </c>
      <c r="D6" s="1">
        <v>7</v>
      </c>
      <c r="E6" s="1">
        <v>7</v>
      </c>
      <c r="F6" s="1">
        <v>0</v>
      </c>
      <c r="G6" s="35">
        <v>0.39200000000000002</v>
      </c>
      <c r="H6" s="3">
        <f t="shared" si="7"/>
        <v>0.39402178245393493</v>
      </c>
      <c r="I6" s="35" t="s">
        <v>67</v>
      </c>
      <c r="J6" s="1">
        <v>2524</v>
      </c>
      <c r="K6" s="1">
        <v>274.39999999999998</v>
      </c>
      <c r="L6" s="35" t="s">
        <v>68</v>
      </c>
      <c r="M6" s="1">
        <v>2415</v>
      </c>
      <c r="N6" s="1">
        <v>274.3</v>
      </c>
      <c r="O6" s="1">
        <f t="shared" si="0"/>
        <v>14</v>
      </c>
      <c r="P6" s="8">
        <f t="shared" si="1"/>
        <v>0.5</v>
      </c>
      <c r="Q6" s="22">
        <f t="shared" si="2"/>
        <v>9.1982507288629751</v>
      </c>
      <c r="R6" s="22">
        <f t="shared" si="3"/>
        <v>8.8042289464090402</v>
      </c>
      <c r="S6" s="8">
        <f t="shared" si="4"/>
        <v>0.58632078284267786</v>
      </c>
      <c r="T6" s="23">
        <f t="shared" si="8"/>
        <v>0.30874349956488334</v>
      </c>
      <c r="U6" s="23">
        <f t="shared" si="9"/>
        <v>1</v>
      </c>
      <c r="V6" s="9">
        <f t="shared" si="5"/>
        <v>0.55832889562364607</v>
      </c>
      <c r="W6" s="6">
        <f t="shared" si="6"/>
        <v>0.65437174978244173</v>
      </c>
    </row>
    <row r="7" spans="1:23" x14ac:dyDescent="0.35">
      <c r="A7" s="1">
        <v>6</v>
      </c>
      <c r="B7" s="1" t="s">
        <v>34</v>
      </c>
      <c r="C7" s="1">
        <v>14</v>
      </c>
      <c r="D7" s="1">
        <v>7</v>
      </c>
      <c r="E7" s="1">
        <v>7</v>
      </c>
      <c r="F7" s="1">
        <v>0</v>
      </c>
      <c r="G7" s="35">
        <v>-0.377</v>
      </c>
      <c r="H7" s="3">
        <f t="shared" si="7"/>
        <v>-0.38870422860716403</v>
      </c>
      <c r="I7" s="35" t="s">
        <v>69</v>
      </c>
      <c r="J7" s="1">
        <v>2573</v>
      </c>
      <c r="K7" s="1">
        <v>267</v>
      </c>
      <c r="L7" s="35" t="s">
        <v>70</v>
      </c>
      <c r="M7" s="1">
        <v>2762</v>
      </c>
      <c r="N7" s="1">
        <v>275.5</v>
      </c>
      <c r="O7" s="1">
        <f t="shared" si="0"/>
        <v>14</v>
      </c>
      <c r="P7" s="8">
        <f t="shared" si="1"/>
        <v>0.5</v>
      </c>
      <c r="Q7" s="22">
        <f t="shared" si="2"/>
        <v>9.6367041198501866</v>
      </c>
      <c r="R7" s="22">
        <f t="shared" si="3"/>
        <v>10.025408348457351</v>
      </c>
      <c r="S7" s="8">
        <f t="shared" si="4"/>
        <v>0.27167820866771752</v>
      </c>
      <c r="T7" s="23">
        <f t="shared" si="8"/>
        <v>0.52225387746816487</v>
      </c>
      <c r="U7" s="23">
        <f t="shared" si="9"/>
        <v>8.6101887049042231E-2</v>
      </c>
      <c r="V7" s="9">
        <f t="shared" si="5"/>
        <v>0.38528561071791873</v>
      </c>
      <c r="W7" s="6">
        <f t="shared" si="6"/>
        <v>0.30417788225860354</v>
      </c>
    </row>
    <row r="8" spans="1:23" x14ac:dyDescent="0.35">
      <c r="A8" s="1">
        <v>7</v>
      </c>
      <c r="B8" s="1" t="s">
        <v>16</v>
      </c>
      <c r="C8" s="1">
        <v>14</v>
      </c>
      <c r="D8" s="1">
        <v>7</v>
      </c>
      <c r="E8" s="1">
        <v>7</v>
      </c>
      <c r="F8" s="1">
        <v>0</v>
      </c>
      <c r="G8" s="35">
        <v>-0.66700000000000004</v>
      </c>
      <c r="H8" s="3">
        <f t="shared" si="7"/>
        <v>-0.66338454352178999</v>
      </c>
      <c r="I8" s="35" t="s">
        <v>71</v>
      </c>
      <c r="J8" s="1">
        <v>2483</v>
      </c>
      <c r="K8" s="1">
        <v>277.5</v>
      </c>
      <c r="L8" s="35" t="s">
        <v>72</v>
      </c>
      <c r="M8" s="1">
        <v>2521</v>
      </c>
      <c r="N8" s="1">
        <v>262.3</v>
      </c>
      <c r="O8" s="1">
        <f t="shared" si="0"/>
        <v>14</v>
      </c>
      <c r="P8" s="8">
        <f t="shared" si="1"/>
        <v>0.5</v>
      </c>
      <c r="Q8" s="22">
        <f t="shared" si="2"/>
        <v>8.9477477477477478</v>
      </c>
      <c r="R8" s="22">
        <f t="shared" si="3"/>
        <v>9.6111322912695378</v>
      </c>
      <c r="S8" s="8">
        <f t="shared" si="4"/>
        <v>0.16126138319035346</v>
      </c>
      <c r="T8" s="23">
        <f t="shared" si="8"/>
        <v>0.18675793105693944</v>
      </c>
      <c r="U8" s="23">
        <f t="shared" si="9"/>
        <v>0.3961350453791459</v>
      </c>
      <c r="V8" s="9">
        <f t="shared" si="5"/>
        <v>0.33708718881584809</v>
      </c>
      <c r="W8" s="6">
        <f t="shared" si="6"/>
        <v>0.29144648821804264</v>
      </c>
    </row>
    <row r="9" spans="1:23" x14ac:dyDescent="0.35">
      <c r="A9" s="1">
        <v>8</v>
      </c>
      <c r="B9" s="1" t="s">
        <v>10</v>
      </c>
      <c r="C9" s="1">
        <v>14</v>
      </c>
      <c r="D9" s="1">
        <v>5</v>
      </c>
      <c r="E9" s="1">
        <v>7</v>
      </c>
      <c r="F9" s="1">
        <v>2</v>
      </c>
      <c r="G9" s="35">
        <v>-1.0629999999999999</v>
      </c>
      <c r="H9" s="3">
        <f t="shared" si="7"/>
        <v>-1.0645491968868264</v>
      </c>
      <c r="I9" s="35" t="s">
        <v>73</v>
      </c>
      <c r="J9" s="1">
        <v>2040</v>
      </c>
      <c r="K9" s="1">
        <v>238.2</v>
      </c>
      <c r="L9" s="35" t="s">
        <v>74</v>
      </c>
      <c r="M9" s="1">
        <v>2101</v>
      </c>
      <c r="N9" s="1">
        <v>218.2</v>
      </c>
      <c r="O9" s="1">
        <f t="shared" si="0"/>
        <v>12</v>
      </c>
      <c r="P9" s="8">
        <f t="shared" si="1"/>
        <v>0.35714285714285715</v>
      </c>
      <c r="Q9" s="22">
        <f t="shared" si="2"/>
        <v>8.5642317380352644</v>
      </c>
      <c r="R9" s="22">
        <f t="shared" si="3"/>
        <v>9.6287809349220908</v>
      </c>
      <c r="S9" s="8">
        <f>(H9-MIN($H$2:$H$11))/(MAX($H$2:$H$11)-MIN($H$2:$H$11))</f>
        <v>0</v>
      </c>
      <c r="T9" s="23">
        <f t="shared" si="8"/>
        <v>0</v>
      </c>
      <c r="U9" s="23">
        <f t="shared" si="9"/>
        <v>0.38292727090869677</v>
      </c>
      <c r="V9" s="9">
        <f t="shared" si="5"/>
        <v>0.20029623349344738</v>
      </c>
      <c r="W9" s="6">
        <f t="shared" si="6"/>
        <v>0.19146363545434839</v>
      </c>
    </row>
    <row r="10" spans="1:23" x14ac:dyDescent="0.35">
      <c r="A10" s="1">
        <v>9</v>
      </c>
      <c r="B10" s="1" t="s">
        <v>31</v>
      </c>
      <c r="C10" s="1">
        <v>14</v>
      </c>
      <c r="D10" s="1">
        <v>5</v>
      </c>
      <c r="E10" s="1">
        <v>9</v>
      </c>
      <c r="F10" s="1">
        <v>0</v>
      </c>
      <c r="G10" s="35">
        <v>-0.35299999999999998</v>
      </c>
      <c r="H10" s="3">
        <f t="shared" si="7"/>
        <v>-0.35268609511093274</v>
      </c>
      <c r="I10" s="35" t="s">
        <v>75</v>
      </c>
      <c r="J10" s="1">
        <v>2487</v>
      </c>
      <c r="K10" s="1">
        <v>274.3</v>
      </c>
      <c r="L10" s="35" t="s">
        <v>76</v>
      </c>
      <c r="M10" s="1">
        <v>2612</v>
      </c>
      <c r="N10" s="1">
        <v>277.3</v>
      </c>
      <c r="O10" s="1">
        <f t="shared" si="0"/>
        <v>10</v>
      </c>
      <c r="P10" s="8">
        <f t="shared" si="1"/>
        <v>0.35714285714285715</v>
      </c>
      <c r="Q10" s="22">
        <f t="shared" si="2"/>
        <v>9.0667152752460805</v>
      </c>
      <c r="R10" s="22">
        <f t="shared" si="3"/>
        <v>9.4194013703570132</v>
      </c>
      <c r="S10" s="8">
        <f t="shared" si="4"/>
        <v>0.2861568871325717</v>
      </c>
      <c r="T10" s="23">
        <f t="shared" si="8"/>
        <v>0.24469066068458853</v>
      </c>
      <c r="U10" s="23">
        <f t="shared" si="9"/>
        <v>0.53962135584458704</v>
      </c>
      <c r="V10" s="9">
        <f t="shared" si="5"/>
        <v>0.34427770015389153</v>
      </c>
      <c r="W10" s="6">
        <f t="shared" si="6"/>
        <v>0.3921560082645878</v>
      </c>
    </row>
    <row r="11" spans="1:23" x14ac:dyDescent="0.35">
      <c r="A11" s="1">
        <v>10</v>
      </c>
      <c r="B11" s="1" t="s">
        <v>19</v>
      </c>
      <c r="C11" s="1">
        <v>14</v>
      </c>
      <c r="D11" s="1">
        <v>4</v>
      </c>
      <c r="E11" s="1">
        <v>10</v>
      </c>
      <c r="F11" s="1">
        <v>0</v>
      </c>
      <c r="G11" s="35">
        <v>-0.318</v>
      </c>
      <c r="H11" s="3">
        <f t="shared" si="7"/>
        <v>-0.31321427163741333</v>
      </c>
      <c r="I11" s="35" t="s">
        <v>77</v>
      </c>
      <c r="J11" s="1">
        <v>2568</v>
      </c>
      <c r="K11" s="1">
        <v>268.5</v>
      </c>
      <c r="L11" s="35" t="s">
        <v>78</v>
      </c>
      <c r="M11" s="1">
        <v>2660</v>
      </c>
      <c r="N11" s="1">
        <v>269.3</v>
      </c>
      <c r="O11" s="1">
        <f t="shared" si="0"/>
        <v>8</v>
      </c>
      <c r="P11" s="8">
        <f t="shared" si="1"/>
        <v>0.2857142857142857</v>
      </c>
      <c r="Q11" s="22">
        <f t="shared" si="2"/>
        <v>9.5642458100558656</v>
      </c>
      <c r="R11" s="22">
        <f t="shared" si="3"/>
        <v>9.8774600816932789</v>
      </c>
      <c r="S11" s="8">
        <f t="shared" si="4"/>
        <v>0.3020238903617749</v>
      </c>
      <c r="T11" s="23">
        <f t="shared" si="8"/>
        <v>0.4869693947285394</v>
      </c>
      <c r="U11" s="23">
        <f t="shared" si="9"/>
        <v>0.19682242621246079</v>
      </c>
      <c r="V11" s="9">
        <f t="shared" si="5"/>
        <v>0.31670892975373499</v>
      </c>
      <c r="W11" s="6">
        <f t="shared" si="6"/>
        <v>0.34189591047050011</v>
      </c>
    </row>
    <row r="13" spans="1:23" ht="23.5" x14ac:dyDescent="0.55000000000000004">
      <c r="A13" s="93" t="s">
        <v>88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</row>
    <row r="14" spans="1:23" ht="15" thickBot="1" x14ac:dyDescent="0.4">
      <c r="G14"/>
      <c r="I14"/>
      <c r="L14"/>
      <c r="M14" s="5"/>
      <c r="O14" s="5"/>
    </row>
    <row r="15" spans="1:23" x14ac:dyDescent="0.35">
      <c r="A15" s="87" t="s">
        <v>89</v>
      </c>
      <c r="B15" s="88"/>
      <c r="C15" s="89"/>
      <c r="E15" s="94" t="s">
        <v>90</v>
      </c>
      <c r="F15" s="95"/>
      <c r="G15" s="95"/>
      <c r="H15" s="96"/>
      <c r="I15"/>
      <c r="L15"/>
      <c r="M15" s="87" t="s">
        <v>83</v>
      </c>
      <c r="N15" s="88"/>
      <c r="O15" s="89"/>
      <c r="Q15" s="87" t="s">
        <v>84</v>
      </c>
      <c r="R15" s="88"/>
      <c r="S15" s="89"/>
    </row>
    <row r="16" spans="1:23" ht="15" thickBot="1" x14ac:dyDescent="0.4">
      <c r="A16" s="90"/>
      <c r="B16" s="91"/>
      <c r="C16" s="92"/>
      <c r="E16" s="97"/>
      <c r="F16" s="98"/>
      <c r="G16" s="98"/>
      <c r="H16" s="99"/>
      <c r="I16"/>
      <c r="L16"/>
      <c r="M16" s="90"/>
      <c r="N16" s="91"/>
      <c r="O16" s="92"/>
      <c r="Q16" s="90"/>
      <c r="R16" s="91"/>
      <c r="S16" s="92"/>
    </row>
    <row r="17" spans="1:19" x14ac:dyDescent="0.35">
      <c r="A17" s="37">
        <v>1</v>
      </c>
      <c r="B17" s="37" t="str">
        <f>B2</f>
        <v>KKR</v>
      </c>
      <c r="C17" s="38">
        <f>P2</f>
        <v>0.6428571428571429</v>
      </c>
      <c r="E17" s="39">
        <v>1</v>
      </c>
      <c r="F17" t="str">
        <f t="shared" ref="F17:F26" si="10">INDEX($B$2:$B$11,
MATCH(LARGE($H$2:$H$11,ROW(A1)),$H$2:$H$11,0))</f>
        <v>KKR</v>
      </c>
      <c r="G17"/>
      <c r="H17" s="40">
        <f>INDEX($S$2:$S$11, MATCH(F17,$B$2:$B$11,0))</f>
        <v>1</v>
      </c>
      <c r="I17"/>
      <c r="L17"/>
      <c r="M17" s="37">
        <v>1</v>
      </c>
      <c r="N17" t="str">
        <f>INDEX($B$2:$B$11,
MATCH(LARGE($T$2:$T$11,ROW(A1)),$T$2:$T$11,0))</f>
        <v>KKR</v>
      </c>
      <c r="O17" s="40">
        <f>INDEX($T$2:$T$11, MATCH(N17,$B$2:$B$11,0))</f>
        <v>1</v>
      </c>
      <c r="Q17" s="37">
        <v>1</v>
      </c>
      <c r="R17" t="str">
        <f>INDEX($B$2:$B$11,
MATCH(LARGE($U$2:$U$11,ROW(A1)),$U$2:$U$11,0))</f>
        <v>CSK</v>
      </c>
      <c r="S17" s="47">
        <f>INDEX($U$2:$U$11, MATCH(R17,$B$2:$B$11,0))</f>
        <v>1</v>
      </c>
    </row>
    <row r="18" spans="1:19" x14ac:dyDescent="0.35">
      <c r="A18" s="37">
        <v>2</v>
      </c>
      <c r="B18" s="37" t="str">
        <f t="shared" ref="B18:B26" si="11">B3</f>
        <v>SRH</v>
      </c>
      <c r="C18" s="38">
        <f t="shared" ref="C18:C26" si="12">P3</f>
        <v>0.5714285714285714</v>
      </c>
      <c r="E18" s="41">
        <v>2</v>
      </c>
      <c r="F18" t="str">
        <f t="shared" si="10"/>
        <v>RCB</v>
      </c>
      <c r="G18"/>
      <c r="H18" s="40">
        <f t="shared" ref="H18:H25" si="13">INDEX($S$2:$S$11, MATCH(F18,$B$2:$B$11,0))</f>
        <v>0.61140235625017769</v>
      </c>
      <c r="I18"/>
      <c r="L18"/>
      <c r="M18" s="37">
        <v>2</v>
      </c>
      <c r="N18" t="str">
        <f t="shared" ref="N18:N26" si="14">INDEX($B$2:$B$11,
MATCH(LARGE($T$2:$T$11,ROW(A2)),$T$2:$T$11,0))</f>
        <v>SRH</v>
      </c>
      <c r="O18" s="40">
        <f t="shared" ref="O18:O26" si="15">INDEX($T$2:$T$11, MATCH(N18,$B$2:$B$11,0))</f>
        <v>0.96531897900216168</v>
      </c>
      <c r="Q18" s="37">
        <v>2</v>
      </c>
      <c r="R18" t="str">
        <f t="shared" ref="R18:R25" si="16">INDEX($B$2:$B$11,
MATCH(LARGE($U$2:$U$11,ROW(A2)),$U$2:$U$11,0))</f>
        <v>RR</v>
      </c>
      <c r="S18" s="47">
        <f t="shared" ref="S18:S26" si="17">INDEX($U$2:$U$11, MATCH(R18,$B$2:$B$11,0))</f>
        <v>0.86484238302128025</v>
      </c>
    </row>
    <row r="19" spans="1:19" x14ac:dyDescent="0.35">
      <c r="A19" s="37">
        <v>3</v>
      </c>
      <c r="B19" s="37" t="str">
        <f t="shared" si="11"/>
        <v>RR</v>
      </c>
      <c r="C19" s="38">
        <f t="shared" si="12"/>
        <v>0.5714285714285714</v>
      </c>
      <c r="E19" s="41">
        <v>3</v>
      </c>
      <c r="F19" t="str">
        <f t="shared" si="10"/>
        <v>SRH</v>
      </c>
      <c r="G19"/>
      <c r="H19" s="40">
        <f t="shared" si="13"/>
        <v>0.59117534057255783</v>
      </c>
      <c r="I19"/>
      <c r="L19"/>
      <c r="M19" s="37">
        <v>3</v>
      </c>
      <c r="N19" t="str">
        <f t="shared" si="14"/>
        <v>RCB</v>
      </c>
      <c r="O19" s="40">
        <f t="shared" si="15"/>
        <v>0.82226370063058174</v>
      </c>
      <c r="Q19" s="37">
        <v>3</v>
      </c>
      <c r="R19" t="str">
        <f t="shared" si="16"/>
        <v>KKR</v>
      </c>
      <c r="S19" s="47">
        <f t="shared" si="17"/>
        <v>0.70781197434796017</v>
      </c>
    </row>
    <row r="20" spans="1:19" x14ac:dyDescent="0.35">
      <c r="A20" s="37">
        <v>4</v>
      </c>
      <c r="B20" s="37" t="str">
        <f t="shared" si="11"/>
        <v>RCB</v>
      </c>
      <c r="C20" s="38">
        <f t="shared" si="12"/>
        <v>0.5</v>
      </c>
      <c r="E20" s="41">
        <v>4</v>
      </c>
      <c r="F20" t="str">
        <f t="shared" si="10"/>
        <v>CSK</v>
      </c>
      <c r="G20"/>
      <c r="H20" s="40">
        <f t="shared" si="13"/>
        <v>0.58632078284267786</v>
      </c>
      <c r="I20"/>
      <c r="L20"/>
      <c r="M20" s="37">
        <v>4</v>
      </c>
      <c r="N20" t="str">
        <f t="shared" si="14"/>
        <v>DC</v>
      </c>
      <c r="O20" s="40">
        <f t="shared" si="15"/>
        <v>0.52225387746816487</v>
      </c>
      <c r="Q20" s="37">
        <v>4</v>
      </c>
      <c r="R20" t="str">
        <f t="shared" si="16"/>
        <v>PBKS</v>
      </c>
      <c r="S20" s="47">
        <f t="shared" si="17"/>
        <v>0.53962135584458704</v>
      </c>
    </row>
    <row r="21" spans="1:19" x14ac:dyDescent="0.35">
      <c r="A21" s="37">
        <v>5</v>
      </c>
      <c r="B21" s="37" t="str">
        <f t="shared" si="11"/>
        <v>CSK</v>
      </c>
      <c r="C21" s="38">
        <f t="shared" si="12"/>
        <v>0.5</v>
      </c>
      <c r="E21" s="41">
        <v>5</v>
      </c>
      <c r="F21" t="str">
        <f t="shared" si="10"/>
        <v>RR</v>
      </c>
      <c r="G21"/>
      <c r="H21" s="40">
        <f t="shared" si="13"/>
        <v>0.53783289552157276</v>
      </c>
      <c r="I21"/>
      <c r="L21"/>
      <c r="M21" s="37">
        <v>5</v>
      </c>
      <c r="N21" t="str">
        <f t="shared" si="14"/>
        <v>MI</v>
      </c>
      <c r="O21" s="40">
        <f t="shared" si="15"/>
        <v>0.4869693947285394</v>
      </c>
      <c r="Q21" s="37">
        <v>5</v>
      </c>
      <c r="R21" t="str">
        <f t="shared" si="16"/>
        <v>LSG</v>
      </c>
      <c r="S21" s="47">
        <f t="shared" si="17"/>
        <v>0.3961350453791459</v>
      </c>
    </row>
    <row r="22" spans="1:19" x14ac:dyDescent="0.35">
      <c r="A22" s="37">
        <v>6</v>
      </c>
      <c r="B22" s="37" t="str">
        <f t="shared" si="11"/>
        <v>DC</v>
      </c>
      <c r="C22" s="38">
        <f t="shared" si="12"/>
        <v>0.5</v>
      </c>
      <c r="E22" s="41">
        <v>6</v>
      </c>
      <c r="F22" t="str">
        <f t="shared" si="10"/>
        <v>MI</v>
      </c>
      <c r="G22"/>
      <c r="H22" s="40">
        <f t="shared" si="13"/>
        <v>0.3020238903617749</v>
      </c>
      <c r="I22"/>
      <c r="L22"/>
      <c r="M22" s="37">
        <v>6</v>
      </c>
      <c r="N22" t="str">
        <f t="shared" si="14"/>
        <v>RR</v>
      </c>
      <c r="O22" s="40">
        <f t="shared" si="15"/>
        <v>0.33795157707849105</v>
      </c>
      <c r="Q22" s="37">
        <v>6</v>
      </c>
      <c r="R22" t="str">
        <f t="shared" si="16"/>
        <v>GT</v>
      </c>
      <c r="S22" s="47">
        <f t="shared" si="17"/>
        <v>0.38292727090869677</v>
      </c>
    </row>
    <row r="23" spans="1:19" x14ac:dyDescent="0.35">
      <c r="A23" s="37">
        <v>7</v>
      </c>
      <c r="B23" s="37" t="str">
        <f t="shared" si="11"/>
        <v>LSG</v>
      </c>
      <c r="C23" s="38">
        <f t="shared" si="12"/>
        <v>0.5</v>
      </c>
      <c r="E23" s="41">
        <v>7</v>
      </c>
      <c r="F23" t="str">
        <f t="shared" si="10"/>
        <v>PBKS</v>
      </c>
      <c r="G23"/>
      <c r="H23" s="40">
        <f t="shared" si="13"/>
        <v>0.2861568871325717</v>
      </c>
      <c r="I23"/>
      <c r="L23"/>
      <c r="M23" s="37">
        <v>7</v>
      </c>
      <c r="N23" t="str">
        <f t="shared" si="14"/>
        <v>CSK</v>
      </c>
      <c r="O23" s="40">
        <f t="shared" si="15"/>
        <v>0.30874349956488334</v>
      </c>
      <c r="Q23" s="37">
        <v>7</v>
      </c>
      <c r="R23" t="str">
        <f t="shared" si="16"/>
        <v>RCB</v>
      </c>
      <c r="S23" s="47">
        <f t="shared" si="17"/>
        <v>0.25750679898227763</v>
      </c>
    </row>
    <row r="24" spans="1:19" x14ac:dyDescent="0.35">
      <c r="A24" s="37">
        <v>8</v>
      </c>
      <c r="B24" s="37" t="str">
        <f t="shared" si="11"/>
        <v>GT</v>
      </c>
      <c r="C24" s="38">
        <f t="shared" si="12"/>
        <v>0.35714285714285715</v>
      </c>
      <c r="E24" s="41">
        <v>8</v>
      </c>
      <c r="F24" t="str">
        <f t="shared" si="10"/>
        <v>DC</v>
      </c>
      <c r="G24"/>
      <c r="H24" s="40">
        <f t="shared" si="13"/>
        <v>0.27167820866771752</v>
      </c>
      <c r="I24"/>
      <c r="L24"/>
      <c r="M24" s="37">
        <v>8</v>
      </c>
      <c r="N24" t="str">
        <f t="shared" si="14"/>
        <v>PBKS</v>
      </c>
      <c r="O24" s="40">
        <f t="shared" si="15"/>
        <v>0.24469066068458853</v>
      </c>
      <c r="Q24" s="37">
        <v>8</v>
      </c>
      <c r="R24" t="str">
        <f t="shared" si="16"/>
        <v>MI</v>
      </c>
      <c r="S24" s="47">
        <f t="shared" si="17"/>
        <v>0.19682242621246079</v>
      </c>
    </row>
    <row r="25" spans="1:19" x14ac:dyDescent="0.35">
      <c r="A25" s="37">
        <v>9</v>
      </c>
      <c r="B25" s="37" t="str">
        <f t="shared" si="11"/>
        <v>PBKS</v>
      </c>
      <c r="C25" s="38">
        <f t="shared" si="12"/>
        <v>0.35714285714285715</v>
      </c>
      <c r="E25" s="41">
        <v>9</v>
      </c>
      <c r="F25" t="str">
        <f t="shared" si="10"/>
        <v>LSG</v>
      </c>
      <c r="G25"/>
      <c r="H25" s="40">
        <f t="shared" si="13"/>
        <v>0.16126138319035346</v>
      </c>
      <c r="I25"/>
      <c r="L25"/>
      <c r="M25" s="37">
        <v>9</v>
      </c>
      <c r="N25" t="str">
        <f t="shared" si="14"/>
        <v>LSG</v>
      </c>
      <c r="O25" s="40">
        <f t="shared" si="15"/>
        <v>0.18675793105693944</v>
      </c>
      <c r="Q25" s="37">
        <v>9</v>
      </c>
      <c r="R25" t="str">
        <f t="shared" si="16"/>
        <v>DC</v>
      </c>
      <c r="S25" s="47">
        <f t="shared" si="17"/>
        <v>8.6101887049042231E-2</v>
      </c>
    </row>
    <row r="26" spans="1:19" ht="15" thickBot="1" x14ac:dyDescent="0.4">
      <c r="A26" s="37">
        <v>10</v>
      </c>
      <c r="B26" s="37" t="str">
        <f t="shared" si="11"/>
        <v>MI</v>
      </c>
      <c r="C26" s="38">
        <f t="shared" si="12"/>
        <v>0.2857142857142857</v>
      </c>
      <c r="E26" s="42">
        <v>10</v>
      </c>
      <c r="F26" s="43" t="str">
        <f t="shared" si="10"/>
        <v>GT</v>
      </c>
      <c r="G26" s="43"/>
      <c r="H26" s="44">
        <f>INDEX($S$2:$S$11, MATCH(F26,$B$2:$B$11,0))</f>
        <v>0</v>
      </c>
      <c r="I26"/>
      <c r="L26"/>
      <c r="M26" s="37">
        <v>10</v>
      </c>
      <c r="N26" t="str">
        <f t="shared" si="14"/>
        <v>GT</v>
      </c>
      <c r="O26" s="40">
        <f t="shared" si="15"/>
        <v>0</v>
      </c>
      <c r="Q26" s="37">
        <v>10</v>
      </c>
      <c r="R26" s="48" t="str">
        <f>INDEX($B$2:$B$11,
MATCH(LARGE($U$2:$U$11,ROW(A10)),$U$2:$U$11,0))</f>
        <v>SRH</v>
      </c>
      <c r="S26" s="49">
        <f t="shared" si="17"/>
        <v>0</v>
      </c>
    </row>
    <row r="27" spans="1:19" x14ac:dyDescent="0.35">
      <c r="G27"/>
      <c r="I27"/>
      <c r="L27"/>
      <c r="O27" s="40"/>
    </row>
    <row r="28" spans="1:19" x14ac:dyDescent="0.35">
      <c r="G28"/>
      <c r="I28"/>
      <c r="L28"/>
    </row>
    <row r="29" spans="1:19" x14ac:dyDescent="0.35">
      <c r="G29"/>
      <c r="I29"/>
      <c r="L29"/>
    </row>
    <row r="30" spans="1:19" x14ac:dyDescent="0.35">
      <c r="C30" s="87" t="s">
        <v>91</v>
      </c>
      <c r="D30" s="88"/>
      <c r="E30" s="89"/>
      <c r="F30" s="87" t="s">
        <v>93</v>
      </c>
      <c r="G30" s="88"/>
      <c r="H30" s="89"/>
      <c r="I30"/>
      <c r="L30"/>
    </row>
    <row r="31" spans="1:19" x14ac:dyDescent="0.35">
      <c r="C31" s="90"/>
      <c r="D31" s="91"/>
      <c r="E31" s="92"/>
      <c r="F31" s="90"/>
      <c r="G31" s="91"/>
      <c r="H31" s="92"/>
      <c r="I31"/>
      <c r="L31"/>
    </row>
    <row r="32" spans="1:19" x14ac:dyDescent="0.35">
      <c r="C32" s="45">
        <v>1</v>
      </c>
      <c r="D32" t="str">
        <f>INDEX($B$2:$B$11,
MATCH(LARGE($V$2:$V$11,ROW(A1)),$V$2:$V$11,0))</f>
        <v>KKR</v>
      </c>
      <c r="E32" s="46">
        <f>INDEX($V$2:$V$11, MATCH(D32,$B$2:$B$11,0))</f>
        <v>0.81331465329505104</v>
      </c>
      <c r="F32" s="37">
        <v>1</v>
      </c>
      <c r="G32" t="str">
        <f t="shared" ref="G32:G41" si="18">INDEX($B$2:$B$11,
MATCH(LARGE($W$2:$W$11,ROW(A1)),$W$2:$W$11,0))</f>
        <v>KKR</v>
      </c>
      <c r="H32" s="47">
        <f>INDEX($W$2:$W$11, MATCH(G32,$B$2:$B$11,0))</f>
        <v>0.85390598717398003</v>
      </c>
      <c r="I32"/>
      <c r="L32"/>
    </row>
    <row r="33" spans="3:12" x14ac:dyDescent="0.35">
      <c r="C33" s="45">
        <v>2</v>
      </c>
      <c r="D33" t="str">
        <f t="shared" ref="D33:D41" si="19">INDEX($B$2:$B$11,
MATCH(LARGE($V$2:$V$11,ROW(A2)),$V$2:$V$11,0))</f>
        <v>SRH</v>
      </c>
      <c r="E33" s="46">
        <f t="shared" ref="E33:E41" si="20">INDEX($V$2:$V$11, MATCH(D33,$B$2:$B$11,0))</f>
        <v>0.56942905951500034</v>
      </c>
      <c r="F33" s="37">
        <v>2</v>
      </c>
      <c r="G33" t="str">
        <f t="shared" si="18"/>
        <v>CSK</v>
      </c>
      <c r="H33" s="47">
        <f t="shared" ref="H33:H41" si="21">INDEX($W$2:$W$11, MATCH(G33,$B$2:$B$11,0))</f>
        <v>0.65437174978244173</v>
      </c>
      <c r="I33"/>
      <c r="L33"/>
    </row>
    <row r="34" spans="3:12" x14ac:dyDescent="0.35">
      <c r="C34" s="45">
        <v>3</v>
      </c>
      <c r="D34" t="str">
        <f t="shared" si="19"/>
        <v>RR</v>
      </c>
      <c r="E34" s="46">
        <f t="shared" si="20"/>
        <v>0.56034632532071194</v>
      </c>
      <c r="F34" s="37">
        <v>3</v>
      </c>
      <c r="G34" t="str">
        <f t="shared" si="18"/>
        <v>RR</v>
      </c>
      <c r="H34" s="47">
        <f t="shared" si="21"/>
        <v>0.60139698004988562</v>
      </c>
      <c r="I34"/>
      <c r="L34"/>
    </row>
    <row r="35" spans="3:12" x14ac:dyDescent="0.35">
      <c r="C35" s="45">
        <v>4</v>
      </c>
      <c r="D35" t="str">
        <f t="shared" si="19"/>
        <v>CSK</v>
      </c>
      <c r="E35" s="46">
        <f t="shared" si="20"/>
        <v>0.55832889562364607</v>
      </c>
      <c r="F35" s="37">
        <v>4</v>
      </c>
      <c r="G35" t="str">
        <f t="shared" si="18"/>
        <v>RCB</v>
      </c>
      <c r="H35" s="47">
        <f t="shared" si="21"/>
        <v>0.53988524980642971</v>
      </c>
      <c r="I35"/>
      <c r="L35"/>
    </row>
    <row r="36" spans="3:12" x14ac:dyDescent="0.35">
      <c r="C36" s="45">
        <v>5</v>
      </c>
      <c r="D36" t="str">
        <f t="shared" si="19"/>
        <v>RCB</v>
      </c>
      <c r="E36" s="46">
        <f t="shared" si="20"/>
        <v>0.55592934903600233</v>
      </c>
      <c r="F36" s="37">
        <v>5</v>
      </c>
      <c r="G36" t="str">
        <f t="shared" si="18"/>
        <v>SRH</v>
      </c>
      <c r="H36" s="47">
        <f t="shared" si="21"/>
        <v>0.48265948950108084</v>
      </c>
      <c r="I36"/>
      <c r="L36"/>
    </row>
    <row r="37" spans="3:12" x14ac:dyDescent="0.35">
      <c r="C37" s="45">
        <v>6</v>
      </c>
      <c r="D37" t="str">
        <f t="shared" si="19"/>
        <v>DC</v>
      </c>
      <c r="E37" s="46">
        <f t="shared" si="20"/>
        <v>0.38528561071791873</v>
      </c>
      <c r="F37" s="37">
        <v>6</v>
      </c>
      <c r="G37" t="str">
        <f t="shared" si="18"/>
        <v>PBKS</v>
      </c>
      <c r="H37" s="47">
        <f t="shared" si="21"/>
        <v>0.3921560082645878</v>
      </c>
      <c r="I37"/>
      <c r="L37"/>
    </row>
    <row r="38" spans="3:12" x14ac:dyDescent="0.35">
      <c r="C38" s="45">
        <v>7</v>
      </c>
      <c r="D38" t="str">
        <f t="shared" si="19"/>
        <v>PBKS</v>
      </c>
      <c r="E38" s="46">
        <f t="shared" si="20"/>
        <v>0.34427770015389153</v>
      </c>
      <c r="F38" s="37">
        <v>7</v>
      </c>
      <c r="G38" t="str">
        <f t="shared" si="18"/>
        <v>MI</v>
      </c>
      <c r="H38" s="47">
        <f t="shared" si="21"/>
        <v>0.34189591047050011</v>
      </c>
      <c r="I38"/>
      <c r="L38"/>
    </row>
    <row r="39" spans="3:12" x14ac:dyDescent="0.35">
      <c r="C39" s="45">
        <v>8</v>
      </c>
      <c r="D39" t="str">
        <f t="shared" si="19"/>
        <v>LSG</v>
      </c>
      <c r="E39" s="46">
        <f t="shared" si="20"/>
        <v>0.33708718881584809</v>
      </c>
      <c r="F39" s="37">
        <v>8</v>
      </c>
      <c r="G39" t="str">
        <f t="shared" si="18"/>
        <v>DC</v>
      </c>
      <c r="H39" s="47">
        <f t="shared" si="21"/>
        <v>0.30417788225860354</v>
      </c>
      <c r="I39"/>
      <c r="L39"/>
    </row>
    <row r="40" spans="3:12" x14ac:dyDescent="0.35">
      <c r="C40" s="45">
        <v>9</v>
      </c>
      <c r="D40" t="str">
        <f t="shared" si="19"/>
        <v>MI</v>
      </c>
      <c r="E40" s="46">
        <f t="shared" si="20"/>
        <v>0.31670892975373499</v>
      </c>
      <c r="F40" s="37">
        <v>9</v>
      </c>
      <c r="G40" t="str">
        <f t="shared" si="18"/>
        <v>LSG</v>
      </c>
      <c r="H40" s="47">
        <f t="shared" si="21"/>
        <v>0.29144648821804264</v>
      </c>
      <c r="I40"/>
      <c r="L40"/>
    </row>
    <row r="41" spans="3:12" x14ac:dyDescent="0.35">
      <c r="C41" s="45">
        <v>10</v>
      </c>
      <c r="D41" t="str">
        <f t="shared" si="19"/>
        <v>GT</v>
      </c>
      <c r="E41" s="46">
        <f t="shared" si="20"/>
        <v>0.20029623349344738</v>
      </c>
      <c r="F41" s="37">
        <v>10</v>
      </c>
      <c r="G41" s="48" t="str">
        <f t="shared" si="18"/>
        <v>GT</v>
      </c>
      <c r="H41" s="49">
        <f t="shared" si="21"/>
        <v>0.19146363545434839</v>
      </c>
      <c r="I41"/>
      <c r="L41"/>
    </row>
  </sheetData>
  <mergeCells count="7">
    <mergeCell ref="C30:E31"/>
    <mergeCell ref="F30:H31"/>
    <mergeCell ref="A13:S13"/>
    <mergeCell ref="A15:C16"/>
    <mergeCell ref="E15:H16"/>
    <mergeCell ref="M15:O16"/>
    <mergeCell ref="Q15:S1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2E5A-DA7E-4017-967E-35ACC2D184B3}">
  <dimension ref="A2:AM28"/>
  <sheetViews>
    <sheetView tabSelected="1" topLeftCell="Y11" workbookViewId="0">
      <selection activeCell="AM20" sqref="AM20"/>
    </sheetView>
  </sheetViews>
  <sheetFormatPr defaultRowHeight="14.5" x14ac:dyDescent="0.35"/>
  <cols>
    <col min="13" max="13" width="8.7265625" style="6"/>
    <col min="23" max="23" width="8.7265625" style="6"/>
    <col min="33" max="33" width="8.7265625" style="6"/>
  </cols>
  <sheetData>
    <row r="2" spans="1:39" x14ac:dyDescent="0.35">
      <c r="A2" t="s">
        <v>142</v>
      </c>
      <c r="K2" t="s">
        <v>143</v>
      </c>
      <c r="U2" t="s">
        <v>141</v>
      </c>
      <c r="AE2" t="s">
        <v>144</v>
      </c>
    </row>
    <row r="3" spans="1:39" x14ac:dyDescent="0.35">
      <c r="G3" s="5"/>
      <c r="I3" s="5"/>
      <c r="Q3" s="5"/>
      <c r="S3" s="5"/>
      <c r="AA3" s="5"/>
      <c r="AC3" s="5"/>
      <c r="AK3" s="5"/>
      <c r="AM3" s="5"/>
    </row>
    <row r="4" spans="1:39" x14ac:dyDescent="0.35">
      <c r="A4" s="100" t="s">
        <v>89</v>
      </c>
      <c r="B4" s="100"/>
      <c r="C4" s="100"/>
      <c r="D4" s="100" t="s">
        <v>90</v>
      </c>
      <c r="E4" s="100"/>
      <c r="F4" s="100"/>
      <c r="G4" s="100" t="s">
        <v>83</v>
      </c>
      <c r="H4" s="100"/>
      <c r="I4" s="100"/>
      <c r="K4" s="100" t="s">
        <v>89</v>
      </c>
      <c r="L4" s="100"/>
      <c r="M4" s="100"/>
      <c r="N4" s="100" t="s">
        <v>90</v>
      </c>
      <c r="O4" s="100"/>
      <c r="P4" s="100"/>
      <c r="Q4" s="100" t="s">
        <v>83</v>
      </c>
      <c r="R4" s="100"/>
      <c r="S4" s="100"/>
      <c r="U4" s="100" t="s">
        <v>89</v>
      </c>
      <c r="V4" s="100"/>
      <c r="W4" s="100"/>
      <c r="X4" s="100" t="s">
        <v>90</v>
      </c>
      <c r="Y4" s="100"/>
      <c r="Z4" s="100"/>
      <c r="AA4" s="100" t="s">
        <v>83</v>
      </c>
      <c r="AB4" s="100"/>
      <c r="AC4" s="100"/>
      <c r="AE4" s="100" t="s">
        <v>89</v>
      </c>
      <c r="AF4" s="100"/>
      <c r="AG4" s="100"/>
      <c r="AH4" s="100" t="s">
        <v>90</v>
      </c>
      <c r="AI4" s="100"/>
      <c r="AJ4" s="100"/>
      <c r="AK4" s="100" t="s">
        <v>83</v>
      </c>
      <c r="AL4" s="100"/>
      <c r="AM4" s="100"/>
    </row>
    <row r="5" spans="1:39" x14ac:dyDescent="0.35">
      <c r="A5" s="1"/>
      <c r="B5" s="1"/>
      <c r="C5" s="1"/>
      <c r="D5" s="1"/>
      <c r="E5" s="1"/>
      <c r="F5" s="1"/>
      <c r="G5" s="1"/>
      <c r="H5" s="1"/>
      <c r="I5" s="1"/>
      <c r="K5" s="1"/>
      <c r="L5" s="1"/>
      <c r="M5" s="23"/>
      <c r="N5" s="1"/>
      <c r="O5" s="1"/>
      <c r="P5" s="1"/>
      <c r="Q5" s="1"/>
      <c r="R5" s="1"/>
      <c r="S5" s="1"/>
      <c r="U5" s="1"/>
      <c r="V5" s="1"/>
      <c r="W5" s="23"/>
      <c r="X5" s="1"/>
      <c r="Y5" s="1"/>
      <c r="Z5" s="1"/>
      <c r="AA5" s="1"/>
      <c r="AB5" s="1"/>
      <c r="AC5" s="1"/>
      <c r="AE5" s="1"/>
      <c r="AF5" s="1"/>
      <c r="AG5" s="23"/>
      <c r="AH5" s="1"/>
      <c r="AI5" s="1"/>
      <c r="AJ5" s="1"/>
      <c r="AK5" s="1"/>
      <c r="AL5" s="1"/>
      <c r="AM5" s="1"/>
    </row>
    <row r="6" spans="1:39" x14ac:dyDescent="0.35">
      <c r="A6" s="1">
        <v>1</v>
      </c>
      <c r="B6" s="1" t="s">
        <v>28</v>
      </c>
      <c r="C6" s="8">
        <v>0.6428571428571429</v>
      </c>
      <c r="D6" s="1">
        <v>1</v>
      </c>
      <c r="E6" s="1" t="s">
        <v>28</v>
      </c>
      <c r="F6" s="8">
        <v>1</v>
      </c>
      <c r="G6" s="1">
        <v>1</v>
      </c>
      <c r="H6" s="1" t="s">
        <v>28</v>
      </c>
      <c r="I6" s="8">
        <v>1</v>
      </c>
      <c r="K6" s="1">
        <f>'2022 Data'!A17</f>
        <v>1</v>
      </c>
      <c r="L6" s="1" t="str">
        <f>'2022 Data'!B17</f>
        <v>GT</v>
      </c>
      <c r="M6" s="23">
        <f>'2022 Data'!C17</f>
        <v>0.7142857142857143</v>
      </c>
      <c r="N6" s="1">
        <f>'2022 Data'!E17</f>
        <v>1</v>
      </c>
      <c r="O6" s="1" t="str">
        <f>'2022 Data'!F17</f>
        <v>GT</v>
      </c>
      <c r="P6" s="8">
        <f>'2022 Data'!H17</f>
        <v>1</v>
      </c>
      <c r="Q6" s="1">
        <f>'2022 Data'!M17</f>
        <v>1</v>
      </c>
      <c r="R6" s="1" t="str">
        <f>'2022 Data'!N17</f>
        <v>RR</v>
      </c>
      <c r="S6" s="23">
        <f>'2022 Data'!O17</f>
        <v>1</v>
      </c>
      <c r="U6" s="1">
        <v>1</v>
      </c>
      <c r="V6" s="1" t="str">
        <f>'2023 Data'!B17</f>
        <v>GT</v>
      </c>
      <c r="W6" s="23">
        <f>'2023 Data'!C17</f>
        <v>0.7142857142857143</v>
      </c>
      <c r="X6" s="1">
        <v>1</v>
      </c>
      <c r="Y6" s="1" t="str">
        <f>'2022 Data'!F17</f>
        <v>GT</v>
      </c>
      <c r="Z6" s="8">
        <f>'2023 Data'!H17</f>
        <v>1</v>
      </c>
      <c r="AA6" s="1">
        <v>1</v>
      </c>
      <c r="AB6" s="1" t="str">
        <f>'2023 Data'!N17</f>
        <v>MI</v>
      </c>
      <c r="AC6" s="23">
        <f>'2023 Data'!O17</f>
        <v>1</v>
      </c>
      <c r="AE6" s="1">
        <v>1</v>
      </c>
      <c r="AF6" s="23" t="str">
        <f>'Overall Ranks'!B14</f>
        <v>GT</v>
      </c>
      <c r="AG6" s="23">
        <f>'Overall Ranks'!C14</f>
        <v>0.59523809523809523</v>
      </c>
      <c r="AH6" s="1">
        <v>1</v>
      </c>
      <c r="AI6" s="23" t="str">
        <f>'Overall Ranks'!B29</f>
        <v>KKR</v>
      </c>
      <c r="AJ6" s="23">
        <f>'Overall Ranks'!C29</f>
        <v>0.7580257934838831</v>
      </c>
      <c r="AK6" s="1">
        <v>1</v>
      </c>
      <c r="AL6" s="23" t="str">
        <f>'Overall Ranks'!B43</f>
        <v>KKR</v>
      </c>
      <c r="AM6" s="23">
        <f>'Overall Ranks'!C43</f>
        <v>0.64456682844568591</v>
      </c>
    </row>
    <row r="7" spans="1:39" x14ac:dyDescent="0.35">
      <c r="A7" s="1">
        <v>2</v>
      </c>
      <c r="B7" s="1" t="s">
        <v>37</v>
      </c>
      <c r="C7" s="8">
        <v>0.5714285714285714</v>
      </c>
      <c r="D7" s="1">
        <v>2</v>
      </c>
      <c r="E7" s="1" t="s">
        <v>25</v>
      </c>
      <c r="F7" s="8">
        <v>0.61140235625017769</v>
      </c>
      <c r="G7" s="1">
        <v>2</v>
      </c>
      <c r="H7" s="1" t="s">
        <v>37</v>
      </c>
      <c r="I7" s="8">
        <v>0.96531897900216168</v>
      </c>
      <c r="K7" s="1">
        <f>'2022 Data'!A18</f>
        <v>2</v>
      </c>
      <c r="L7" s="1" t="s">
        <v>37</v>
      </c>
      <c r="M7" s="23">
        <f>'2022 Data'!C18</f>
        <v>0.6428571428571429</v>
      </c>
      <c r="N7" s="1">
        <f>'2022 Data'!E18</f>
        <v>2</v>
      </c>
      <c r="O7" s="1" t="str">
        <f>'2022 Data'!F18</f>
        <v>RR</v>
      </c>
      <c r="P7" s="8">
        <f>'2022 Data'!H18</f>
        <v>0.98928042151393203</v>
      </c>
      <c r="Q7" s="1">
        <f>'2022 Data'!M18</f>
        <v>2</v>
      </c>
      <c r="R7" s="1" t="str">
        <f>'2022 Data'!N18</f>
        <v>DC</v>
      </c>
      <c r="S7" s="23">
        <f>'2022 Data'!O18</f>
        <v>0.96555866283697267</v>
      </c>
      <c r="U7" s="1">
        <v>2</v>
      </c>
      <c r="V7" s="1" t="str">
        <f>'2023 Data'!B18</f>
        <v>CSK</v>
      </c>
      <c r="W7" s="23">
        <f>'2023 Data'!C18</f>
        <v>0.5714285714285714</v>
      </c>
      <c r="X7" s="1">
        <v>2</v>
      </c>
      <c r="Y7" s="1" t="str">
        <f>'2022 Data'!F18</f>
        <v>RR</v>
      </c>
      <c r="Z7" s="8">
        <f>'2023 Data'!H18</f>
        <v>0.90133796726744886</v>
      </c>
      <c r="AA7" s="1">
        <v>2</v>
      </c>
      <c r="AB7" s="1" t="str">
        <f>'2023 Data'!N18</f>
        <v>CSK</v>
      </c>
      <c r="AC7" s="23">
        <f>'2023 Data'!O18</f>
        <v>0.83750009888251387</v>
      </c>
      <c r="AE7" s="1">
        <v>2</v>
      </c>
      <c r="AF7" s="23" t="str">
        <f>'Overall Ranks'!B15</f>
        <v>LSG</v>
      </c>
      <c r="AG7" s="23">
        <f>'Overall Ranks'!C15</f>
        <v>0.57142857142857151</v>
      </c>
      <c r="AH7" s="1">
        <v>2</v>
      </c>
      <c r="AI7" s="23" t="str">
        <f>'Overall Ranks'!B30</f>
        <v>RR</v>
      </c>
      <c r="AJ7" s="23">
        <f>'Overall Ranks'!C30</f>
        <v>0.70601741226026482</v>
      </c>
      <c r="AK7" s="1">
        <v>2</v>
      </c>
      <c r="AL7" s="23" t="str">
        <f>'Overall Ranks'!B44</f>
        <v>RR</v>
      </c>
      <c r="AM7" s="23">
        <f>'Overall Ranks'!C44</f>
        <v>0.64087322085536425</v>
      </c>
    </row>
    <row r="8" spans="1:39" x14ac:dyDescent="0.35">
      <c r="A8" s="1">
        <v>3</v>
      </c>
      <c r="B8" s="1" t="s">
        <v>22</v>
      </c>
      <c r="C8" s="8">
        <v>0.5714285714285714</v>
      </c>
      <c r="D8" s="1">
        <v>3</v>
      </c>
      <c r="E8" s="1" t="s">
        <v>37</v>
      </c>
      <c r="F8" s="8">
        <v>0.59117534057255783</v>
      </c>
      <c r="G8" s="1">
        <v>3</v>
      </c>
      <c r="H8" s="1" t="s">
        <v>25</v>
      </c>
      <c r="I8" s="8">
        <v>0.82226370063058174</v>
      </c>
      <c r="K8" s="1">
        <f>'2022 Data'!A19</f>
        <v>3</v>
      </c>
      <c r="L8" s="1" t="s">
        <v>22</v>
      </c>
      <c r="M8" s="23">
        <f>'2022 Data'!C19</f>
        <v>0.6428571428571429</v>
      </c>
      <c r="N8" s="1">
        <f>'2022 Data'!E19</f>
        <v>3</v>
      </c>
      <c r="O8" s="1" t="str">
        <f>'2022 Data'!F19</f>
        <v>LSG</v>
      </c>
      <c r="P8" s="8">
        <f>'2022 Data'!H19</f>
        <v>0.95939309807681694</v>
      </c>
      <c r="Q8" s="1">
        <f>'2022 Data'!M19</f>
        <v>3</v>
      </c>
      <c r="R8" s="1" t="str">
        <f>'2022 Data'!N19</f>
        <v>PBKS</v>
      </c>
      <c r="S8" s="23">
        <f>'2022 Data'!O19</f>
        <v>0.78790088813938952</v>
      </c>
      <c r="U8" s="1">
        <v>3</v>
      </c>
      <c r="V8" s="1" t="str">
        <f>'2023 Data'!B19</f>
        <v>LSG</v>
      </c>
      <c r="W8" s="23">
        <f>'2023 Data'!C19</f>
        <v>0.5714285714285714</v>
      </c>
      <c r="X8" s="1">
        <v>3</v>
      </c>
      <c r="Y8" s="1" t="str">
        <f>'2022 Data'!F19</f>
        <v>LSG</v>
      </c>
      <c r="Z8" s="8">
        <f>'2023 Data'!H19</f>
        <v>0.67541728276350554</v>
      </c>
      <c r="AA8" s="1">
        <v>3</v>
      </c>
      <c r="AB8" s="1" t="str">
        <f>'2023 Data'!N19</f>
        <v>PBKS</v>
      </c>
      <c r="AC8" s="23">
        <f>'2023 Data'!O19</f>
        <v>0.73688935957142876</v>
      </c>
      <c r="AE8" s="1">
        <v>3</v>
      </c>
      <c r="AF8" s="23" t="str">
        <f>'Overall Ranks'!B16</f>
        <v>RR</v>
      </c>
      <c r="AG8" s="23">
        <f>'Overall Ranks'!C16</f>
        <v>0.5714285714285714</v>
      </c>
      <c r="AH8" s="1">
        <v>3</v>
      </c>
      <c r="AI8" s="23" t="str">
        <f>'Overall Ranks'!B31</f>
        <v>GT</v>
      </c>
      <c r="AJ8" s="23">
        <f>'Overall Ranks'!C31</f>
        <v>0.66666666666666663</v>
      </c>
      <c r="AK8" s="1">
        <v>3</v>
      </c>
      <c r="AL8" s="23" t="str">
        <f>'Overall Ranks'!B45</f>
        <v>PBKS</v>
      </c>
      <c r="AM8" s="23">
        <f>'Overall Ranks'!C45</f>
        <v>0.58982696946513558</v>
      </c>
    </row>
    <row r="9" spans="1:39" x14ac:dyDescent="0.35">
      <c r="A9" s="1">
        <v>4</v>
      </c>
      <c r="B9" s="1" t="s">
        <v>25</v>
      </c>
      <c r="C9" s="8">
        <v>0.5</v>
      </c>
      <c r="D9" s="1">
        <v>4</v>
      </c>
      <c r="E9" s="1" t="s">
        <v>13</v>
      </c>
      <c r="F9" s="8">
        <v>0.58632078284267786</v>
      </c>
      <c r="G9" s="1">
        <v>4</v>
      </c>
      <c r="H9" s="1" t="s">
        <v>34</v>
      </c>
      <c r="I9" s="8">
        <v>0.52225387746816487</v>
      </c>
      <c r="K9" s="1">
        <f>'2022 Data'!A20</f>
        <v>4</v>
      </c>
      <c r="L9" s="1" t="s">
        <v>25</v>
      </c>
      <c r="M9" s="23">
        <f>'2022 Data'!C20</f>
        <v>0.5714285714285714</v>
      </c>
      <c r="N9" s="1">
        <f>'2022 Data'!E20</f>
        <v>4</v>
      </c>
      <c r="O9" s="1" t="str">
        <f>'2022 Data'!F20</f>
        <v>DC</v>
      </c>
      <c r="P9" s="8">
        <f>'2022 Data'!H20</f>
        <v>0.92628770333904631</v>
      </c>
      <c r="Q9" s="1">
        <f>'2022 Data'!M20</f>
        <v>4</v>
      </c>
      <c r="R9" s="1" t="str">
        <f>'2022 Data'!N20</f>
        <v>LSG</v>
      </c>
      <c r="S9" s="23">
        <f>'2022 Data'!O20</f>
        <v>0.45461146281208581</v>
      </c>
      <c r="U9" s="1">
        <v>4</v>
      </c>
      <c r="V9" s="1" t="str">
        <f>'2023 Data'!B20</f>
        <v>MI</v>
      </c>
      <c r="W9" s="23">
        <f>'2023 Data'!C20</f>
        <v>0.5714285714285714</v>
      </c>
      <c r="X9" s="1">
        <v>4</v>
      </c>
      <c r="Y9" s="1" t="str">
        <f>'2022 Data'!F20</f>
        <v>DC</v>
      </c>
      <c r="Z9" s="8">
        <f>'2023 Data'!H20</f>
        <v>0.59093891974528956</v>
      </c>
      <c r="AA9" s="1">
        <v>4</v>
      </c>
      <c r="AB9" s="1" t="str">
        <f>'2023 Data'!N20</f>
        <v>GT</v>
      </c>
      <c r="AC9" s="23">
        <f>'2023 Data'!O20</f>
        <v>0.73213478197219162</v>
      </c>
      <c r="AE9" s="1">
        <v>4</v>
      </c>
      <c r="AF9" s="23" t="str">
        <f>'Overall Ranks'!B17</f>
        <v>RCB</v>
      </c>
      <c r="AG9" s="23">
        <f>'Overall Ranks'!C17</f>
        <v>0.52380952380952384</v>
      </c>
      <c r="AH9" s="1">
        <v>4</v>
      </c>
      <c r="AI9" s="23" t="str">
        <f>'Overall Ranks'!B32</f>
        <v>RCB</v>
      </c>
      <c r="AJ9" s="23">
        <f>'Overall Ranks'!C32</f>
        <v>0.61255757171331504</v>
      </c>
      <c r="AK9" s="1">
        <v>4</v>
      </c>
      <c r="AL9" s="23" t="str">
        <f>'Overall Ranks'!B46</f>
        <v>RCB</v>
      </c>
      <c r="AM9" s="23">
        <f>'Overall Ranks'!C46</f>
        <v>0.56404187626031665</v>
      </c>
    </row>
    <row r="10" spans="1:39" x14ac:dyDescent="0.35">
      <c r="A10" s="1">
        <v>5</v>
      </c>
      <c r="B10" s="1" t="s">
        <v>13</v>
      </c>
      <c r="C10" s="8">
        <v>0.5</v>
      </c>
      <c r="D10" s="1">
        <v>5</v>
      </c>
      <c r="E10" s="1" t="s">
        <v>22</v>
      </c>
      <c r="F10" s="8">
        <v>0.53783289552157276</v>
      </c>
      <c r="G10" s="1">
        <v>5</v>
      </c>
      <c r="H10" s="1" t="s">
        <v>19</v>
      </c>
      <c r="I10" s="8">
        <v>0.4869693947285394</v>
      </c>
      <c r="K10" s="1">
        <f>'2022 Data'!A21</f>
        <v>5</v>
      </c>
      <c r="L10" s="1" t="s">
        <v>13</v>
      </c>
      <c r="M10" s="23">
        <f>'2022 Data'!C21</f>
        <v>0.5</v>
      </c>
      <c r="N10" s="1">
        <f>'2022 Data'!E21</f>
        <v>5</v>
      </c>
      <c r="O10" s="1" t="str">
        <f>'2022 Data'!F21</f>
        <v>KKR</v>
      </c>
      <c r="P10" s="8">
        <f>'2022 Data'!H21</f>
        <v>0.9170832806370024</v>
      </c>
      <c r="Q10" s="1">
        <f>'2022 Data'!M21</f>
        <v>5</v>
      </c>
      <c r="R10" s="1" t="str">
        <f>'2022 Data'!N21</f>
        <v>GT</v>
      </c>
      <c r="S10" s="23">
        <f>'2022 Data'!O21</f>
        <v>0.41632766251325753</v>
      </c>
      <c r="U10" s="1">
        <v>5</v>
      </c>
      <c r="V10" s="1" t="str">
        <f>'2023 Data'!B21</f>
        <v>RR</v>
      </c>
      <c r="W10" s="23">
        <f>'2023 Data'!C21</f>
        <v>0.5</v>
      </c>
      <c r="X10" s="1">
        <v>5</v>
      </c>
      <c r="Y10" s="1" t="str">
        <f>'2022 Data'!F21</f>
        <v>KKR</v>
      </c>
      <c r="Z10" s="8">
        <f>'2023 Data'!H21</f>
        <v>0.58706649308311198</v>
      </c>
      <c r="AA10" s="1">
        <v>5</v>
      </c>
      <c r="AB10" s="1" t="str">
        <f>'2023 Data'!N21</f>
        <v>RCB</v>
      </c>
      <c r="AC10" s="23">
        <f>'2023 Data'!O21</f>
        <v>0.70040781098971927</v>
      </c>
      <c r="AE10" s="1">
        <v>5</v>
      </c>
      <c r="AF10" s="23" t="str">
        <f>'Overall Ranks'!B18</f>
        <v>KKR</v>
      </c>
      <c r="AG10" s="23">
        <f>'Overall Ranks'!C18</f>
        <v>0.5</v>
      </c>
      <c r="AH10" s="1">
        <v>5</v>
      </c>
      <c r="AI10" s="23" t="str">
        <f>'Overall Ranks'!B33</f>
        <v>LSG</v>
      </c>
      <c r="AJ10" s="23">
        <f>'Overall Ranks'!C33</f>
        <v>0.59869058801022534</v>
      </c>
      <c r="AK10" s="1">
        <v>5</v>
      </c>
      <c r="AL10" s="23" t="str">
        <f>'Overall Ranks'!B47</f>
        <v>SRH</v>
      </c>
      <c r="AM10" s="23">
        <f>'Overall Ranks'!C47</f>
        <v>0.56172120045533735</v>
      </c>
    </row>
    <row r="11" spans="1:39" x14ac:dyDescent="0.35">
      <c r="A11" s="1">
        <v>6</v>
      </c>
      <c r="B11" s="1" t="s">
        <v>34</v>
      </c>
      <c r="C11" s="8">
        <v>0.5</v>
      </c>
      <c r="D11" s="1">
        <v>6</v>
      </c>
      <c r="E11" s="1" t="s">
        <v>19</v>
      </c>
      <c r="F11" s="8">
        <v>0.3020238903617749</v>
      </c>
      <c r="G11" s="1">
        <v>6</v>
      </c>
      <c r="H11" s="1" t="s">
        <v>22</v>
      </c>
      <c r="I11" s="8">
        <v>0.33795157707849105</v>
      </c>
      <c r="K11" s="1">
        <f>'2022 Data'!A22</f>
        <v>6</v>
      </c>
      <c r="L11" s="1" t="s">
        <v>34</v>
      </c>
      <c r="M11" s="23">
        <f>'2022 Data'!C22</f>
        <v>0.5</v>
      </c>
      <c r="N11" s="1">
        <f>'2022 Data'!E22</f>
        <v>6</v>
      </c>
      <c r="O11" s="1" t="str">
        <f>'2022 Data'!F22</f>
        <v>PBKS</v>
      </c>
      <c r="P11" s="8">
        <f>'2022 Data'!H22</f>
        <v>0.87964688008574987</v>
      </c>
      <c r="Q11" s="1">
        <f>'2022 Data'!M22</f>
        <v>6</v>
      </c>
      <c r="R11" s="1" t="str">
        <f>'2022 Data'!N22</f>
        <v>SRH</v>
      </c>
      <c r="S11" s="23">
        <f>'2022 Data'!O22</f>
        <v>0.32263307639782801</v>
      </c>
      <c r="U11" s="1">
        <v>6</v>
      </c>
      <c r="V11" s="1" t="str">
        <f>'2023 Data'!B22</f>
        <v>RCB</v>
      </c>
      <c r="W11" s="23">
        <f>'2023 Data'!C22</f>
        <v>0.5</v>
      </c>
      <c r="X11" s="1">
        <v>6</v>
      </c>
      <c r="Y11" s="1" t="str">
        <f>'2022 Data'!F22</f>
        <v>PBKS</v>
      </c>
      <c r="Z11" s="8">
        <f>'2023 Data'!H22</f>
        <v>0.47655050641300151</v>
      </c>
      <c r="AA11" s="1">
        <v>6</v>
      </c>
      <c r="AB11" s="1" t="str">
        <f>'2023 Data'!N22</f>
        <v>KKR</v>
      </c>
      <c r="AC11" s="23">
        <f>'2023 Data'!O22</f>
        <v>0.63759553386567169</v>
      </c>
      <c r="AE11" s="1">
        <v>6</v>
      </c>
      <c r="AF11" s="23" t="str">
        <f>'Overall Ranks'!B19</f>
        <v>DC</v>
      </c>
      <c r="AG11" s="23">
        <f>'Overall Ranks'!C19</f>
        <v>0.45238095238095238</v>
      </c>
      <c r="AH11" s="1">
        <v>6</v>
      </c>
      <c r="AI11" s="23" t="str">
        <f>'Overall Ranks'!B34</f>
        <v>CSK</v>
      </c>
      <c r="AJ11" s="23">
        <f>'Overall Ranks'!C34</f>
        <v>0.50338180485807915</v>
      </c>
      <c r="AK11" s="1">
        <v>6</v>
      </c>
      <c r="AL11" s="23" t="str">
        <f>'Overall Ranks'!B48</f>
        <v>DC</v>
      </c>
      <c r="AM11" s="23">
        <f>'Overall Ranks'!C48</f>
        <v>0.49593751343504583</v>
      </c>
    </row>
    <row r="12" spans="1:39" x14ac:dyDescent="0.35">
      <c r="A12" s="1">
        <v>7</v>
      </c>
      <c r="B12" s="1" t="s">
        <v>16</v>
      </c>
      <c r="C12" s="8">
        <v>0.5</v>
      </c>
      <c r="D12" s="1">
        <v>7</v>
      </c>
      <c r="E12" s="1" t="s">
        <v>31</v>
      </c>
      <c r="F12" s="8">
        <v>0.2861568871325717</v>
      </c>
      <c r="G12" s="1">
        <v>7</v>
      </c>
      <c r="H12" s="1" t="s">
        <v>13</v>
      </c>
      <c r="I12" s="8">
        <v>0.30874349956488334</v>
      </c>
      <c r="K12" s="1">
        <f>'2022 Data'!A23</f>
        <v>7</v>
      </c>
      <c r="L12" s="1" t="s">
        <v>16</v>
      </c>
      <c r="M12" s="23">
        <f>'2022 Data'!C23</f>
        <v>0.42857142857142855</v>
      </c>
      <c r="N12" s="1">
        <f>'2022 Data'!E23</f>
        <v>7</v>
      </c>
      <c r="O12" s="1" t="str">
        <f>'2022 Data'!F23</f>
        <v>RCB</v>
      </c>
      <c r="P12" s="8">
        <f>'2022 Data'!H23</f>
        <v>0.63920386580665511</v>
      </c>
      <c r="Q12" s="1">
        <f>'2022 Data'!M23</f>
        <v>7</v>
      </c>
      <c r="R12" s="1" t="str">
        <f>'2022 Data'!N23</f>
        <v>KKR</v>
      </c>
      <c r="S12" s="23">
        <f>'2022 Data'!O23</f>
        <v>0.29610495147138621</v>
      </c>
      <c r="U12" s="1">
        <v>7</v>
      </c>
      <c r="V12" s="1" t="str">
        <f>'2023 Data'!B23</f>
        <v>KKR</v>
      </c>
      <c r="W12" s="23">
        <f>'2023 Data'!C23</f>
        <v>0.42857142857142855</v>
      </c>
      <c r="X12" s="1">
        <v>7</v>
      </c>
      <c r="Y12" s="1" t="str">
        <f>'2022 Data'!F23</f>
        <v>RCB</v>
      </c>
      <c r="Z12" s="8">
        <f>'2023 Data'!H23</f>
        <v>0.35699409981464691</v>
      </c>
      <c r="AA12" s="1">
        <v>7</v>
      </c>
      <c r="AB12" s="1" t="str">
        <f>'2023 Data'!N23</f>
        <v>RR</v>
      </c>
      <c r="AC12" s="23">
        <f>'2023 Data'!O23</f>
        <v>0.58466808548760174</v>
      </c>
      <c r="AE12" s="1">
        <v>7</v>
      </c>
      <c r="AF12" s="23" t="str">
        <f>'Overall Ranks'!B20</f>
        <v>CSK</v>
      </c>
      <c r="AG12" s="23">
        <f>'Overall Ranks'!C20</f>
        <v>0.45238095238095238</v>
      </c>
      <c r="AH12" s="1">
        <v>7</v>
      </c>
      <c r="AI12" s="23" t="str">
        <f>'Overall Ranks'!B35</f>
        <v>PBKS</v>
      </c>
      <c r="AJ12" s="23">
        <f>'Overall Ranks'!C35</f>
        <v>0.492867410644029</v>
      </c>
      <c r="AK12" s="1">
        <v>7</v>
      </c>
      <c r="AL12" s="23" t="str">
        <f>'Overall Ranks'!B49</f>
        <v>MI</v>
      </c>
      <c r="AM12" s="23">
        <f>'Overall Ranks'!C49</f>
        <v>0.49565646490951315</v>
      </c>
    </row>
    <row r="13" spans="1:39" x14ac:dyDescent="0.35">
      <c r="A13" s="1">
        <v>8</v>
      </c>
      <c r="B13" s="1" t="s">
        <v>10</v>
      </c>
      <c r="C13" s="8">
        <v>0.35714285714285715</v>
      </c>
      <c r="D13" s="1">
        <v>8</v>
      </c>
      <c r="E13" s="1" t="s">
        <v>34</v>
      </c>
      <c r="F13" s="8">
        <v>0.27167820866771752</v>
      </c>
      <c r="G13" s="1">
        <v>8</v>
      </c>
      <c r="H13" s="1" t="s">
        <v>31</v>
      </c>
      <c r="I13" s="8">
        <v>0.24469066068458853</v>
      </c>
      <c r="K13" s="1">
        <f>'2022 Data'!A24</f>
        <v>8</v>
      </c>
      <c r="L13" s="1" t="s">
        <v>10</v>
      </c>
      <c r="M13" s="23">
        <f>'2022 Data'!C24</f>
        <v>0.42857142857142855</v>
      </c>
      <c r="N13" s="1">
        <f>'2022 Data'!E24</f>
        <v>8</v>
      </c>
      <c r="O13" s="1" t="str">
        <f>'2022 Data'!F24</f>
        <v>SRH</v>
      </c>
      <c r="P13" s="8">
        <f>'2022 Data'!H24</f>
        <v>0.51878093454044438</v>
      </c>
      <c r="Q13" s="1">
        <f>'2022 Data'!M24</f>
        <v>8</v>
      </c>
      <c r="R13" s="1" t="str">
        <f>'2022 Data'!N24</f>
        <v>RCB</v>
      </c>
      <c r="S13" s="23">
        <f>'2022 Data'!O24</f>
        <v>0.16945411716064898</v>
      </c>
      <c r="U13" s="1">
        <v>8</v>
      </c>
      <c r="V13" s="1" t="str">
        <f>'2023 Data'!B24</f>
        <v>PBKS</v>
      </c>
      <c r="W13" s="23">
        <f>'2023 Data'!C24</f>
        <v>0.42857142857142855</v>
      </c>
      <c r="X13" s="1">
        <v>8</v>
      </c>
      <c r="Y13" s="1" t="str">
        <f>'2022 Data'!F24</f>
        <v>SRH</v>
      </c>
      <c r="Z13" s="8">
        <f>'2023 Data'!H24</f>
        <v>0.31279846471376538</v>
      </c>
      <c r="AA13" s="1">
        <v>8</v>
      </c>
      <c r="AB13" s="1" t="str">
        <f>'2023 Data'!N24</f>
        <v>LSG</v>
      </c>
      <c r="AC13" s="23">
        <f>'2023 Data'!O24</f>
        <v>0.54799314651467967</v>
      </c>
      <c r="AE13" s="1">
        <v>8</v>
      </c>
      <c r="AF13" s="23" t="str">
        <f>'Overall Ranks'!B21</f>
        <v>PBKS</v>
      </c>
      <c r="AG13" s="23">
        <f>'Overall Ranks'!C21</f>
        <v>0.4285714285714286</v>
      </c>
      <c r="AH13" s="1">
        <v>8</v>
      </c>
      <c r="AI13" s="23" t="str">
        <f>'Overall Ranks'!B36</f>
        <v>SRH</v>
      </c>
      <c r="AJ13" s="23">
        <f>'Overall Ranks'!C36</f>
        <v>0.41497037237733059</v>
      </c>
      <c r="AK13" s="1">
        <v>8</v>
      </c>
      <c r="AL13" s="23" t="str">
        <f>'Overall Ranks'!B50</f>
        <v>CSK</v>
      </c>
      <c r="AM13" s="23">
        <f>'Overall Ranks'!C50</f>
        <v>0.40859393377896575</v>
      </c>
    </row>
    <row r="14" spans="1:39" x14ac:dyDescent="0.35">
      <c r="A14" s="1">
        <v>9</v>
      </c>
      <c r="B14" s="1" t="s">
        <v>31</v>
      </c>
      <c r="C14" s="8">
        <v>0.35714285714285715</v>
      </c>
      <c r="D14" s="1">
        <v>9</v>
      </c>
      <c r="E14" s="1" t="s">
        <v>16</v>
      </c>
      <c r="F14" s="8">
        <v>0.16126138319035346</v>
      </c>
      <c r="G14" s="1">
        <v>9</v>
      </c>
      <c r="H14" s="1" t="s">
        <v>16</v>
      </c>
      <c r="I14" s="8">
        <v>0.18675793105693944</v>
      </c>
      <c r="K14" s="1">
        <f>'2022 Data'!A25</f>
        <v>9</v>
      </c>
      <c r="L14" s="1" t="s">
        <v>31</v>
      </c>
      <c r="M14" s="23">
        <f>'2022 Data'!C25</f>
        <v>0.2857142857142857</v>
      </c>
      <c r="N14" s="1">
        <f>'2022 Data'!E25</f>
        <v>9</v>
      </c>
      <c r="O14" s="1" t="str">
        <f>'2022 Data'!F25</f>
        <v>CSK</v>
      </c>
      <c r="P14" s="8">
        <f>'2022 Data'!H25</f>
        <v>2.2486664464110694E-2</v>
      </c>
      <c r="Q14" s="1">
        <f>'2022 Data'!M25</f>
        <v>9</v>
      </c>
      <c r="R14" s="1" t="str">
        <f>'2022 Data'!N25</f>
        <v>CSK</v>
      </c>
      <c r="S14" s="23">
        <f>'2022 Data'!O25</f>
        <v>7.9538202889499948E-2</v>
      </c>
      <c r="U14" s="1">
        <v>9</v>
      </c>
      <c r="V14" s="1" t="str">
        <f>'2023 Data'!B25</f>
        <v>DC</v>
      </c>
      <c r="W14" s="23">
        <f>'2023 Data'!C25</f>
        <v>0.35714285714285715</v>
      </c>
      <c r="X14" s="1">
        <v>9</v>
      </c>
      <c r="Y14" s="1" t="str">
        <f>'2022 Data'!F25</f>
        <v>CSK</v>
      </c>
      <c r="Z14" s="8">
        <f>'2023 Data'!H25</f>
        <v>0.1349548420189895</v>
      </c>
      <c r="AA14" s="1">
        <v>9</v>
      </c>
      <c r="AB14" s="1" t="str">
        <f>'2023 Data'!N25</f>
        <v>SRH</v>
      </c>
      <c r="AC14" s="23">
        <f>'2023 Data'!O25</f>
        <v>0.39721154596602237</v>
      </c>
      <c r="AE14" s="1">
        <v>9</v>
      </c>
      <c r="AF14" s="23" t="str">
        <f>'Overall Ranks'!B22</f>
        <v>SRH</v>
      </c>
      <c r="AG14" s="23">
        <f>'Overall Ranks'!C22</f>
        <v>0.42857142857142855</v>
      </c>
      <c r="AH14" s="1">
        <v>9</v>
      </c>
      <c r="AI14" s="23" t="str">
        <f>'Overall Ranks'!B37</f>
        <v>DC</v>
      </c>
      <c r="AJ14" s="23">
        <f>'Overall Ranks'!C37</f>
        <v>0.39932197066892128</v>
      </c>
      <c r="AK14" s="1">
        <v>9</v>
      </c>
      <c r="AL14" s="23" t="str">
        <f>'Overall Ranks'!B51</f>
        <v>LSG</v>
      </c>
      <c r="AM14" s="23">
        <f>'Overall Ranks'!C51</f>
        <v>0.39645418012790162</v>
      </c>
    </row>
    <row r="15" spans="1:39" x14ac:dyDescent="0.35">
      <c r="A15" s="1">
        <v>10</v>
      </c>
      <c r="B15" s="1" t="s">
        <v>19</v>
      </c>
      <c r="C15" s="8">
        <v>0.2857142857142857</v>
      </c>
      <c r="D15" s="1">
        <v>10</v>
      </c>
      <c r="E15" s="1" t="s">
        <v>10</v>
      </c>
      <c r="F15" s="8">
        <v>0</v>
      </c>
      <c r="G15" s="1">
        <v>10</v>
      </c>
      <c r="H15" s="1" t="s">
        <v>10</v>
      </c>
      <c r="I15" s="8">
        <v>0</v>
      </c>
      <c r="K15" s="1">
        <f>'2022 Data'!A26</f>
        <v>10</v>
      </c>
      <c r="L15" s="1" t="s">
        <v>19</v>
      </c>
      <c r="M15" s="23">
        <f>'2022 Data'!C26</f>
        <v>0.2857142857142857</v>
      </c>
      <c r="N15" s="1">
        <f>'2022 Data'!E26</f>
        <v>10</v>
      </c>
      <c r="O15" s="1" t="str">
        <f>'2022 Data'!F26</f>
        <v>MI</v>
      </c>
      <c r="P15" s="8">
        <f>'2022 Data'!H26</f>
        <v>0</v>
      </c>
      <c r="Q15" s="1">
        <f>'2022 Data'!M26</f>
        <v>10</v>
      </c>
      <c r="R15" s="1" t="str">
        <f>'2022 Data'!N26</f>
        <v>MI</v>
      </c>
      <c r="S15" s="23">
        <f>'2022 Data'!O26</f>
        <v>0</v>
      </c>
      <c r="U15" s="1">
        <v>10</v>
      </c>
      <c r="V15" s="1" t="str">
        <f>'2023 Data'!B26</f>
        <v>SRH</v>
      </c>
      <c r="W15" s="23">
        <f>'2023 Data'!C26</f>
        <v>0.2857142857142857</v>
      </c>
      <c r="X15" s="1">
        <v>10</v>
      </c>
      <c r="Y15" s="1" t="str">
        <f>'2022 Data'!F26</f>
        <v>MI</v>
      </c>
      <c r="Z15" s="8">
        <f>'2023 Data'!H26</f>
        <v>0</v>
      </c>
      <c r="AA15" s="1">
        <v>10</v>
      </c>
      <c r="AB15" s="1" t="str">
        <f>'2023 Data'!N26</f>
        <v>DC</v>
      </c>
      <c r="AC15" s="23">
        <f>'2023 Data'!O26</f>
        <v>0</v>
      </c>
      <c r="AE15" s="1">
        <v>10</v>
      </c>
      <c r="AF15" s="23" t="str">
        <f>'Overall Ranks'!B23</f>
        <v>MI</v>
      </c>
      <c r="AG15" s="23">
        <f>'Overall Ranks'!C23</f>
        <v>0.38095238095238093</v>
      </c>
      <c r="AH15" s="1">
        <v>10</v>
      </c>
      <c r="AI15" s="23" t="str">
        <f>'Overall Ranks'!B38</f>
        <v>MI</v>
      </c>
      <c r="AJ15" s="23">
        <f>'Overall Ranks'!C38</f>
        <v>0.25952479892492547</v>
      </c>
      <c r="AK15" s="1">
        <v>10</v>
      </c>
      <c r="AL15" s="23" t="str">
        <f>'Overall Ranks'!B52</f>
        <v>GT</v>
      </c>
      <c r="AM15" s="23">
        <f>'Overall Ranks'!C52</f>
        <v>0.38282081482848307</v>
      </c>
    </row>
    <row r="16" spans="1:39" x14ac:dyDescent="0.35">
      <c r="A16" s="1"/>
      <c r="B16" s="1"/>
      <c r="C16" s="1"/>
      <c r="D16" s="1"/>
      <c r="E16" s="1"/>
      <c r="F16" s="1"/>
      <c r="G16" s="1"/>
      <c r="H16" s="1"/>
      <c r="I16" s="8"/>
      <c r="K16" s="1"/>
      <c r="L16" s="1"/>
      <c r="M16" s="23"/>
      <c r="N16" s="1"/>
      <c r="O16" s="1"/>
      <c r="P16" s="1"/>
      <c r="Q16" s="1"/>
      <c r="R16" s="1"/>
      <c r="S16" s="8"/>
      <c r="U16" s="1"/>
      <c r="V16" s="1"/>
      <c r="W16" s="23"/>
      <c r="X16" s="1"/>
      <c r="Y16" s="1"/>
      <c r="Z16" s="1"/>
      <c r="AA16" s="1"/>
      <c r="AB16" s="1"/>
      <c r="AC16" s="8"/>
      <c r="AE16" s="1"/>
      <c r="AF16" s="1"/>
      <c r="AG16" s="23"/>
      <c r="AH16" s="1"/>
      <c r="AI16" s="1"/>
      <c r="AJ16" s="1"/>
      <c r="AK16" s="1"/>
      <c r="AL16" s="1"/>
      <c r="AM16" s="8"/>
    </row>
    <row r="17" spans="1:39" x14ac:dyDescent="0.35">
      <c r="A17" s="100" t="s">
        <v>84</v>
      </c>
      <c r="B17" s="100"/>
      <c r="C17" s="100"/>
      <c r="D17" s="100" t="s">
        <v>91</v>
      </c>
      <c r="E17" s="100"/>
      <c r="F17" s="100"/>
      <c r="G17" s="100" t="s">
        <v>93</v>
      </c>
      <c r="H17" s="100"/>
      <c r="I17" s="100"/>
      <c r="K17" s="100" t="s">
        <v>84</v>
      </c>
      <c r="L17" s="100"/>
      <c r="M17" s="100"/>
      <c r="N17" s="100" t="s">
        <v>91</v>
      </c>
      <c r="O17" s="100"/>
      <c r="P17" s="100"/>
      <c r="Q17" s="100" t="s">
        <v>93</v>
      </c>
      <c r="R17" s="100"/>
      <c r="S17" s="100"/>
      <c r="U17" s="100" t="s">
        <v>84</v>
      </c>
      <c r="V17" s="100"/>
      <c r="W17" s="100"/>
      <c r="X17" s="100" t="s">
        <v>91</v>
      </c>
      <c r="Y17" s="100"/>
      <c r="Z17" s="100"/>
      <c r="AA17" s="100" t="s">
        <v>93</v>
      </c>
      <c r="AB17" s="100"/>
      <c r="AC17" s="100"/>
      <c r="AE17" s="100" t="s">
        <v>84</v>
      </c>
      <c r="AF17" s="100"/>
      <c r="AG17" s="100"/>
      <c r="AH17" s="100" t="s">
        <v>91</v>
      </c>
      <c r="AI17" s="100"/>
      <c r="AJ17" s="100"/>
      <c r="AK17" s="100" t="s">
        <v>93</v>
      </c>
      <c r="AL17" s="100"/>
      <c r="AM17" s="100"/>
    </row>
    <row r="18" spans="1:39" x14ac:dyDescent="0.35">
      <c r="A18" s="1"/>
      <c r="B18" s="1"/>
      <c r="C18" s="1"/>
      <c r="D18" s="1"/>
      <c r="E18" s="1"/>
      <c r="F18" s="1"/>
      <c r="G18" s="1"/>
      <c r="H18" s="1"/>
      <c r="I18" s="1"/>
      <c r="K18" s="1"/>
      <c r="L18" s="1"/>
      <c r="M18" s="23"/>
      <c r="N18" s="1"/>
      <c r="O18" s="1"/>
      <c r="P18" s="1"/>
      <c r="Q18" s="1"/>
      <c r="R18" s="1"/>
      <c r="S18" s="1"/>
      <c r="U18" s="1"/>
      <c r="V18" s="1"/>
      <c r="W18" s="23"/>
      <c r="X18" s="1"/>
      <c r="Y18" s="1"/>
      <c r="Z18" s="1"/>
      <c r="AA18" s="1"/>
      <c r="AB18" s="1"/>
      <c r="AC18" s="1"/>
      <c r="AE18" s="1"/>
      <c r="AF18" s="1"/>
      <c r="AG18" s="23"/>
      <c r="AH18" s="1"/>
      <c r="AI18" s="1"/>
      <c r="AJ18" s="1"/>
      <c r="AK18" s="1"/>
      <c r="AL18" s="1"/>
      <c r="AM18" s="1"/>
    </row>
    <row r="19" spans="1:39" x14ac:dyDescent="0.35">
      <c r="A19" s="1">
        <v>1</v>
      </c>
      <c r="B19" s="1" t="s">
        <v>13</v>
      </c>
      <c r="C19" s="8">
        <v>1</v>
      </c>
      <c r="D19" s="1">
        <v>1</v>
      </c>
      <c r="E19" s="1" t="s">
        <v>28</v>
      </c>
      <c r="F19" s="8">
        <v>0.81331465329505104</v>
      </c>
      <c r="G19" s="1">
        <v>1</v>
      </c>
      <c r="H19" s="1" t="s">
        <v>28</v>
      </c>
      <c r="I19" s="8">
        <v>0.85390598717398003</v>
      </c>
      <c r="K19" s="1">
        <v>1</v>
      </c>
      <c r="L19" s="1" t="str">
        <f>'2022 Data'!R17</f>
        <v>GT</v>
      </c>
      <c r="M19" s="23">
        <f>'2022 Data'!S17</f>
        <v>1</v>
      </c>
      <c r="N19" s="1">
        <v>1</v>
      </c>
      <c r="O19" s="1" t="str">
        <f>'2022 Data'!D32</f>
        <v>RR</v>
      </c>
      <c r="P19" s="23">
        <f>'2022 Data'!E32</f>
        <v>0.80381459033275282</v>
      </c>
      <c r="Q19" s="1">
        <v>1</v>
      </c>
      <c r="R19" s="1" t="str">
        <f>'2022 Data'!N32</f>
        <v>RR</v>
      </c>
      <c r="S19" s="23">
        <f>'2022 Data'!O32</f>
        <v>0.83117209270470915</v>
      </c>
      <c r="U19" s="1">
        <v>1</v>
      </c>
      <c r="V19" s="1" t="str">
        <f>'2023 Data'!R17</f>
        <v>GT</v>
      </c>
      <c r="W19" s="23">
        <f>'2023 Data'!S17</f>
        <v>1</v>
      </c>
      <c r="X19" s="1">
        <v>1</v>
      </c>
      <c r="Y19" s="1" t="str">
        <f>'2023 Data'!D32</f>
        <v>GT</v>
      </c>
      <c r="Z19" s="23">
        <f>'2023 Data'!E32</f>
        <v>0.8321412421087242</v>
      </c>
      <c r="AA19" s="1">
        <v>1</v>
      </c>
      <c r="AB19" s="1" t="str">
        <f>'2023 Data'!N32</f>
        <v>GT</v>
      </c>
      <c r="AC19" s="23">
        <f>'2023 Data'!O32</f>
        <v>0.86606739098609586</v>
      </c>
      <c r="AE19" s="1">
        <v>1</v>
      </c>
      <c r="AF19" s="23" t="str">
        <f>'Overall Ranks'!B57</f>
        <v>GT</v>
      </c>
      <c r="AG19" s="23">
        <f>'Overall Ranks'!C57</f>
        <v>0.79430909030289898</v>
      </c>
      <c r="AH19" s="1">
        <v>1</v>
      </c>
      <c r="AI19" s="23" t="str">
        <f>'Overall Ranks'!B84</f>
        <v>RR</v>
      </c>
      <c r="AJ19" s="23">
        <f>'Overall Ranks'!C84</f>
        <v>0.6436773113150539</v>
      </c>
      <c r="AK19" s="1">
        <v>1</v>
      </c>
      <c r="AL19" s="23" t="str">
        <f>'Overall Ranks'!B71</f>
        <v>RR</v>
      </c>
      <c r="AM19" s="23">
        <f>'Overall Ranks'!C71</f>
        <v>0.68852622878596981</v>
      </c>
    </row>
    <row r="20" spans="1:39" x14ac:dyDescent="0.35">
      <c r="A20" s="1">
        <v>2</v>
      </c>
      <c r="B20" s="1" t="s">
        <v>22</v>
      </c>
      <c r="C20" s="8">
        <v>0.86484238302128025</v>
      </c>
      <c r="D20" s="1">
        <v>2</v>
      </c>
      <c r="E20" s="1" t="s">
        <v>37</v>
      </c>
      <c r="F20" s="8">
        <v>0.56942905951500034</v>
      </c>
      <c r="G20" s="1">
        <v>2</v>
      </c>
      <c r="H20" s="1" t="s">
        <v>13</v>
      </c>
      <c r="I20" s="8">
        <v>0.65437174978244173</v>
      </c>
      <c r="K20" s="1">
        <v>2</v>
      </c>
      <c r="L20" s="1" t="str">
        <f>'2022 Data'!R18</f>
        <v>KKR</v>
      </c>
      <c r="M20" s="23">
        <f>'2022 Data'!S18</f>
        <v>0.96615380292192277</v>
      </c>
      <c r="N20" s="1">
        <v>2</v>
      </c>
      <c r="O20" s="1" t="str">
        <f>'2022 Data'!D33</f>
        <v>GT</v>
      </c>
      <c r="P20" s="23">
        <f>'2022 Data'!E33</f>
        <v>0.76897981821693728</v>
      </c>
      <c r="Q20" s="1">
        <v>2</v>
      </c>
      <c r="R20" s="1" t="str">
        <f>'2022 Data'!N33</f>
        <v>DC</v>
      </c>
      <c r="S20" s="23">
        <f>'2022 Data'!O33</f>
        <v>0.78527293357407357</v>
      </c>
      <c r="U20" s="1">
        <v>2</v>
      </c>
      <c r="V20" s="1" t="str">
        <f>'2023 Data'!R18</f>
        <v>LSG</v>
      </c>
      <c r="W20" s="23">
        <f>'2023 Data'!S18</f>
        <v>0.83423571616173409</v>
      </c>
      <c r="X20" s="1">
        <v>2</v>
      </c>
      <c r="Y20" s="1" t="str">
        <f>'2023 Data'!D33</f>
        <v>CSK</v>
      </c>
      <c r="Z20" s="23">
        <f>'2023 Data'!E33</f>
        <v>0.73245562689263777</v>
      </c>
      <c r="AA20" s="1">
        <v>2</v>
      </c>
      <c r="AB20" s="1" t="str">
        <f>'2023 Data'!N33</f>
        <v>CSK</v>
      </c>
      <c r="AC20" s="23">
        <f>'2023 Data'!O33</f>
        <v>0.78891567186740419</v>
      </c>
      <c r="AE20" s="1">
        <v>2</v>
      </c>
      <c r="AF20" s="23" t="str">
        <f>'Overall Ranks'!B58</f>
        <v>RR</v>
      </c>
      <c r="AG20" s="23">
        <f>'Overall Ranks'!C58</f>
        <v>0.73617923671657548</v>
      </c>
      <c r="AH20" s="1">
        <v>2</v>
      </c>
      <c r="AI20" s="23" t="str">
        <f>'Overall Ranks'!B85</f>
        <v>KKR</v>
      </c>
      <c r="AJ20" s="23">
        <f>'Overall Ranks'!C85</f>
        <v>0.61817104220942098</v>
      </c>
      <c r="AK20" s="1">
        <v>2</v>
      </c>
      <c r="AL20" s="23" t="str">
        <f>'Overall Ranks'!B72</f>
        <v>KKR</v>
      </c>
      <c r="AM20" s="23">
        <f>'Overall Ranks'!C72</f>
        <v>0.65478750805388664</v>
      </c>
    </row>
    <row r="21" spans="1:39" x14ac:dyDescent="0.35">
      <c r="A21" s="1">
        <v>3</v>
      </c>
      <c r="B21" s="1" t="s">
        <v>28</v>
      </c>
      <c r="C21" s="8">
        <v>0.70781197434796017</v>
      </c>
      <c r="D21" s="1">
        <v>3</v>
      </c>
      <c r="E21" s="1" t="s">
        <v>22</v>
      </c>
      <c r="F21" s="8">
        <v>0.56034632532071194</v>
      </c>
      <c r="G21" s="1">
        <v>3</v>
      </c>
      <c r="H21" s="1" t="s">
        <v>22</v>
      </c>
      <c r="I21" s="8">
        <v>0.60139698004988562</v>
      </c>
      <c r="K21" s="1">
        <v>3</v>
      </c>
      <c r="L21" s="1" t="str">
        <f>'2022 Data'!R19</f>
        <v>LSG</v>
      </c>
      <c r="M21" s="23">
        <f>'2022 Data'!S19</f>
        <v>0.92938424745736881</v>
      </c>
      <c r="N21" s="1">
        <v>3</v>
      </c>
      <c r="O21" s="1" t="str">
        <f>'2022 Data'!D34</f>
        <v>LSG</v>
      </c>
      <c r="P21" s="23">
        <f>'2022 Data'!E34</f>
        <v>0.72732106134308383</v>
      </c>
      <c r="Q21" s="1">
        <v>3</v>
      </c>
      <c r="R21" s="1" t="str">
        <f>'2022 Data'!N34</f>
        <v>PBKS</v>
      </c>
      <c r="S21" s="23">
        <f>'2022 Data'!O34</f>
        <v>0.71752444693049788</v>
      </c>
      <c r="U21" s="1">
        <v>3</v>
      </c>
      <c r="V21" s="1" t="str">
        <f>'2023 Data'!R19</f>
        <v>CSK</v>
      </c>
      <c r="W21" s="23">
        <f>'2023 Data'!S19</f>
        <v>0.74033124485229451</v>
      </c>
      <c r="X21" s="1">
        <v>3</v>
      </c>
      <c r="Y21" s="1" t="str">
        <f>'2023 Data'!D34</f>
        <v>LSG</v>
      </c>
      <c r="Z21" s="23">
        <f>'2023 Data'!E34</f>
        <v>0.63215973598950093</v>
      </c>
      <c r="AA21" s="1">
        <v>3</v>
      </c>
      <c r="AB21" s="1" t="str">
        <f>'2023 Data'!N34</f>
        <v>LSG</v>
      </c>
      <c r="AC21" s="23">
        <f>'2023 Data'!O34</f>
        <v>0.69111443133820694</v>
      </c>
      <c r="AE21" s="1">
        <v>3</v>
      </c>
      <c r="AF21" s="23" t="str">
        <f>'Overall Ranks'!B59</f>
        <v>LSG</v>
      </c>
      <c r="AG21" s="23">
        <f>'Overall Ranks'!C59</f>
        <v>0.7199183363327496</v>
      </c>
      <c r="AH21" s="1">
        <v>3</v>
      </c>
      <c r="AI21" s="23" t="str">
        <f>'Overall Ranks'!B86</f>
        <v>GT</v>
      </c>
      <c r="AJ21" s="23">
        <f>'Overall Ranks'!C86</f>
        <v>0.60047243127303629</v>
      </c>
      <c r="AK21" s="1">
        <v>3</v>
      </c>
      <c r="AL21" s="23" t="str">
        <f>'Overall Ranks'!B73</f>
        <v>GT</v>
      </c>
      <c r="AM21" s="23">
        <f>'Overall Ranks'!C73</f>
        <v>0.58856495256569097</v>
      </c>
    </row>
    <row r="22" spans="1:39" x14ac:dyDescent="0.35">
      <c r="A22" s="1">
        <v>4</v>
      </c>
      <c r="B22" s="1" t="s">
        <v>31</v>
      </c>
      <c r="C22" s="8">
        <v>0.53962135584458704</v>
      </c>
      <c r="D22" s="1">
        <v>4</v>
      </c>
      <c r="E22" s="1" t="s">
        <v>13</v>
      </c>
      <c r="F22" s="8">
        <v>0.55832889562364607</v>
      </c>
      <c r="G22" s="1">
        <v>4</v>
      </c>
      <c r="H22" s="1" t="s">
        <v>25</v>
      </c>
      <c r="I22" s="8">
        <v>0.53988524980642971</v>
      </c>
      <c r="K22" s="1">
        <v>4</v>
      </c>
      <c r="L22" s="1" t="str">
        <f>'2022 Data'!R20</f>
        <v>RCB</v>
      </c>
      <c r="M22" s="23">
        <f>'2022 Data'!S20</f>
        <v>0.69907465974025118</v>
      </c>
      <c r="N22" s="1">
        <v>4</v>
      </c>
      <c r="O22" s="1" t="str">
        <f>'2022 Data'!D35</f>
        <v>DC</v>
      </c>
      <c r="P22" s="23">
        <f>'2022 Data'!E35</f>
        <v>0.71543173904883228</v>
      </c>
      <c r="Q22" s="1">
        <v>4</v>
      </c>
      <c r="R22" s="1" t="str">
        <f>'2022 Data'!N35</f>
        <v>GT</v>
      </c>
      <c r="S22" s="23">
        <f>'2022 Data'!O35</f>
        <v>0.70816383125662874</v>
      </c>
      <c r="U22" s="1">
        <v>4</v>
      </c>
      <c r="V22" s="1" t="str">
        <f>'2023 Data'!R20</f>
        <v>DC</v>
      </c>
      <c r="W22" s="23">
        <f>'2023 Data'!S20</f>
        <v>0.70309482114587529</v>
      </c>
      <c r="X22" s="1">
        <v>4</v>
      </c>
      <c r="Y22" s="1" t="str">
        <f>'2023 Data'!D35</f>
        <v>RR</v>
      </c>
      <c r="Z22" s="23">
        <f>'2023 Data'!E35</f>
        <v>0.56687101829169695</v>
      </c>
      <c r="AA22" s="1">
        <v>4</v>
      </c>
      <c r="AB22" s="1" t="str">
        <f>'2023 Data'!N35</f>
        <v>RR</v>
      </c>
      <c r="AC22" s="23">
        <f>'2023 Data'!O35</f>
        <v>0.63300961360331476</v>
      </c>
      <c r="AE22" s="1">
        <v>4</v>
      </c>
      <c r="AF22" s="23" t="str">
        <f>'Overall Ranks'!B60</f>
        <v>KKR</v>
      </c>
      <c r="AG22" s="23">
        <f>'Overall Ranks'!C60</f>
        <v>0.66500818766208736</v>
      </c>
      <c r="AH22" s="1">
        <v>4</v>
      </c>
      <c r="AI22" s="23" t="str">
        <f>'Overall Ranks'!B87</f>
        <v>LSG</v>
      </c>
      <c r="AJ22" s="23">
        <f>'Overall Ranks'!C87</f>
        <v>0.56552266204947765</v>
      </c>
      <c r="AK22" s="1">
        <v>4</v>
      </c>
      <c r="AL22" s="23" t="str">
        <f>'Overall Ranks'!B74</f>
        <v>LSG</v>
      </c>
      <c r="AM22" s="23">
        <f>'Overall Ranks'!C74</f>
        <v>0.55818625823032564</v>
      </c>
    </row>
    <row r="23" spans="1:39" x14ac:dyDescent="0.35">
      <c r="A23" s="1">
        <v>5</v>
      </c>
      <c r="B23" s="1" t="s">
        <v>16</v>
      </c>
      <c r="C23" s="8">
        <v>0.3961350453791459</v>
      </c>
      <c r="D23" s="1">
        <v>5</v>
      </c>
      <c r="E23" s="1" t="s">
        <v>25</v>
      </c>
      <c r="F23" s="8">
        <v>0.55592934903600233</v>
      </c>
      <c r="G23" s="1">
        <v>5</v>
      </c>
      <c r="H23" s="1" t="s">
        <v>37</v>
      </c>
      <c r="I23" s="8">
        <v>0.48265948950108084</v>
      </c>
      <c r="K23" s="1">
        <v>5</v>
      </c>
      <c r="L23" s="1" t="str">
        <f>'2022 Data'!R21</f>
        <v>RR</v>
      </c>
      <c r="M23" s="23">
        <f>'2022 Data'!S21</f>
        <v>0.66234418540941831</v>
      </c>
      <c r="N23" s="1">
        <v>5</v>
      </c>
      <c r="O23" s="1" t="str">
        <f>'2022 Data'!D36</f>
        <v>PBKS</v>
      </c>
      <c r="P23" s="23">
        <f>'2022 Data'!E36</f>
        <v>0.67456409850755639</v>
      </c>
      <c r="Q23" s="1">
        <v>5</v>
      </c>
      <c r="R23" s="1" t="str">
        <f>'2022 Data'!N36</f>
        <v>LSG</v>
      </c>
      <c r="S23" s="23">
        <f>'2022 Data'!O36</f>
        <v>0.69199785513472734</v>
      </c>
      <c r="U23" s="1">
        <v>5</v>
      </c>
      <c r="V23" s="1" t="str">
        <f>'2023 Data'!R21</f>
        <v>RR</v>
      </c>
      <c r="W23" s="23">
        <f>'2023 Data'!S21</f>
        <v>0.68135114171902778</v>
      </c>
      <c r="X23" s="1">
        <v>5</v>
      </c>
      <c r="Y23" s="1" t="str">
        <f>'2023 Data'!D36</f>
        <v>RCB</v>
      </c>
      <c r="Z23" s="23">
        <f>'2023 Data'!E36</f>
        <v>0.56580672163590473</v>
      </c>
      <c r="AA23" s="1">
        <v>5</v>
      </c>
      <c r="AB23" s="1" t="str">
        <f>'2023 Data'!N36</f>
        <v>RCB</v>
      </c>
      <c r="AC23" s="23">
        <f>'2023 Data'!O36</f>
        <v>0.61339902605213581</v>
      </c>
      <c r="AE23" s="1">
        <v>5</v>
      </c>
      <c r="AF23" s="23" t="str">
        <f>'Overall Ranks'!B61</f>
        <v>CSK</v>
      </c>
      <c r="AG23" s="23">
        <f>'Overall Ranks'!C61</f>
        <v>0.58011041495076487</v>
      </c>
      <c r="AH23" s="1">
        <v>5</v>
      </c>
      <c r="AI23" s="23" t="str">
        <f>'Overall Ranks'!B88</f>
        <v>RCB</v>
      </c>
      <c r="AJ23" s="23">
        <f>'Overall Ranks'!C88</f>
        <v>0.54962016269605563</v>
      </c>
      <c r="AK23" s="1">
        <v>5</v>
      </c>
      <c r="AL23" s="23" t="str">
        <f>'Overall Ranks'!B75</f>
        <v>RCB</v>
      </c>
      <c r="AM23" s="23">
        <f>'Overall Ranks'!C75</f>
        <v>0.52918288810300518</v>
      </c>
    </row>
    <row r="24" spans="1:39" x14ac:dyDescent="0.35">
      <c r="A24" s="1">
        <v>6</v>
      </c>
      <c r="B24" s="1" t="s">
        <v>10</v>
      </c>
      <c r="C24" s="8">
        <v>0.38292727090869677</v>
      </c>
      <c r="D24" s="1">
        <v>6</v>
      </c>
      <c r="E24" s="1" t="s">
        <v>34</v>
      </c>
      <c r="F24" s="8">
        <v>0.38528561071791873</v>
      </c>
      <c r="G24" s="1">
        <v>6</v>
      </c>
      <c r="H24" s="1" t="s">
        <v>31</v>
      </c>
      <c r="I24" s="8">
        <v>0.3921560082645878</v>
      </c>
      <c r="K24" s="1">
        <v>6</v>
      </c>
      <c r="L24" s="1" t="str">
        <f>'2022 Data'!R22</f>
        <v>PBKS</v>
      </c>
      <c r="M24" s="23">
        <f>'2022 Data'!S22</f>
        <v>0.64714800572160625</v>
      </c>
      <c r="N24" s="1">
        <v>6</v>
      </c>
      <c r="O24" s="1" t="str">
        <f>'2022 Data'!D37</f>
        <v>KKR</v>
      </c>
      <c r="P24" s="23">
        <f>'2022 Data'!E37</f>
        <v>0.60484345232038772</v>
      </c>
      <c r="Q24" s="1">
        <v>6</v>
      </c>
      <c r="R24" s="1" t="str">
        <f>'2022 Data'!N37</f>
        <v>KKR</v>
      </c>
      <c r="S24" s="23">
        <f>'2022 Data'!O37</f>
        <v>0.63112937719665452</v>
      </c>
      <c r="U24" s="1">
        <v>6</v>
      </c>
      <c r="V24" s="1" t="str">
        <f>'2023 Data'!R22</f>
        <v>RCB</v>
      </c>
      <c r="W24" s="23">
        <f>'2023 Data'!S22</f>
        <v>0.52639024111455235</v>
      </c>
      <c r="X24" s="1">
        <v>6</v>
      </c>
      <c r="Y24" s="1" t="str">
        <f>'2023 Data'!D37</f>
        <v>MI</v>
      </c>
      <c r="Z24" s="23">
        <f>'2023 Data'!E37</f>
        <v>0.54770905517467894</v>
      </c>
      <c r="AA24" s="1">
        <v>6</v>
      </c>
      <c r="AB24" s="1" t="str">
        <f>'2023 Data'!N37</f>
        <v>MI</v>
      </c>
      <c r="AC24" s="23">
        <f>'2023 Data'!O37</f>
        <v>0.5</v>
      </c>
      <c r="AE24" s="1">
        <v>6</v>
      </c>
      <c r="AF24" s="23" t="str">
        <f>'Overall Ranks'!B62</f>
        <v>RCB</v>
      </c>
      <c r="AG24" s="23">
        <f>'Overall Ranks'!C62</f>
        <v>0.49432389994569376</v>
      </c>
      <c r="AH24" s="1">
        <v>6</v>
      </c>
      <c r="AI24" s="23" t="str">
        <f>'Overall Ranks'!B89</f>
        <v>PBKS</v>
      </c>
      <c r="AJ24" s="23">
        <f>'Overall Ranks'!C89</f>
        <v>0.47880747738435264</v>
      </c>
      <c r="AK24" s="1">
        <v>6</v>
      </c>
      <c r="AL24" s="23" t="str">
        <f>'Overall Ranks'!B76</f>
        <v>PBKS</v>
      </c>
      <c r="AM24" s="23">
        <f>'Overall Ranks'!C76</f>
        <v>0.51556901607172401</v>
      </c>
    </row>
    <row r="25" spans="1:39" x14ac:dyDescent="0.35">
      <c r="A25" s="1">
        <v>7</v>
      </c>
      <c r="B25" s="1" t="s">
        <v>25</v>
      </c>
      <c r="C25" s="8">
        <v>0.25750679898227763</v>
      </c>
      <c r="D25" s="1">
        <v>7</v>
      </c>
      <c r="E25" s="1" t="s">
        <v>31</v>
      </c>
      <c r="F25" s="8">
        <v>0.34427770015389153</v>
      </c>
      <c r="G25" s="1">
        <v>7</v>
      </c>
      <c r="H25" s="1" t="s">
        <v>19</v>
      </c>
      <c r="I25" s="8">
        <v>0.34189591047050011</v>
      </c>
      <c r="K25" s="1">
        <v>7</v>
      </c>
      <c r="L25" s="1" t="str">
        <f>'2022 Data'!R23</f>
        <v>DC</v>
      </c>
      <c r="M25" s="23">
        <f>'2022 Data'!S23</f>
        <v>0.60498720431117448</v>
      </c>
      <c r="N25" s="1">
        <v>7</v>
      </c>
      <c r="O25" s="1" t="str">
        <f>'2022 Data'!D38</f>
        <v>RCB</v>
      </c>
      <c r="P25" s="23">
        <f>'2022 Data'!E38</f>
        <v>0.52712441741625982</v>
      </c>
      <c r="Q25" s="1">
        <v>7</v>
      </c>
      <c r="R25" s="1" t="str">
        <f>'2022 Data'!N38</f>
        <v>RCB</v>
      </c>
      <c r="S25" s="23">
        <f>'2022 Data'!O38</f>
        <v>0.43426438845045007</v>
      </c>
      <c r="U25" s="1">
        <v>7</v>
      </c>
      <c r="V25" s="1" t="str">
        <f>'2023 Data'!R23</f>
        <v>SRH</v>
      </c>
      <c r="W25" s="23">
        <f>'2023 Data'!S23</f>
        <v>0.3560812743282401</v>
      </c>
      <c r="X25" s="1">
        <v>7</v>
      </c>
      <c r="Y25" s="1" t="str">
        <f>'2023 Data'!D38</f>
        <v>KKR</v>
      </c>
      <c r="Z25" s="23">
        <f>'2023 Data'!E38</f>
        <v>0.43635502101282436</v>
      </c>
      <c r="AA25" s="1">
        <v>7</v>
      </c>
      <c r="AB25" s="1" t="str">
        <f>'2023 Data'!N38</f>
        <v>KKR</v>
      </c>
      <c r="AC25" s="23">
        <f>'2023 Data'!O38</f>
        <v>0.47932715979102536</v>
      </c>
      <c r="AE25" s="1">
        <v>7</v>
      </c>
      <c r="AF25" s="23" t="str">
        <f>'Overall Ranks'!B63</f>
        <v>DC</v>
      </c>
      <c r="AG25" s="23">
        <f>'Overall Ranks'!C63</f>
        <v>0.46472797083536399</v>
      </c>
      <c r="AH25" s="1">
        <v>7</v>
      </c>
      <c r="AI25" s="23" t="str">
        <f>'Overall Ranks'!B90</f>
        <v>CSK</v>
      </c>
      <c r="AJ25" s="23">
        <f>'Overall Ranks'!C90</f>
        <v>0.47553318116530857</v>
      </c>
      <c r="AK25" s="1">
        <v>7</v>
      </c>
      <c r="AL25" s="23" t="str">
        <f>'Overall Ranks'!B77</f>
        <v>CSK</v>
      </c>
      <c r="AM25" s="23">
        <f>'Overall Ranks'!C77</f>
        <v>0.49435217436486534</v>
      </c>
    </row>
    <row r="26" spans="1:39" x14ac:dyDescent="0.35">
      <c r="A26" s="1">
        <v>8</v>
      </c>
      <c r="B26" s="1" t="s">
        <v>19</v>
      </c>
      <c r="C26" s="8">
        <v>0.19682242621246079</v>
      </c>
      <c r="D26" s="1">
        <v>8</v>
      </c>
      <c r="E26" s="1" t="s">
        <v>16</v>
      </c>
      <c r="F26" s="8">
        <v>0.33708718881584809</v>
      </c>
      <c r="G26" s="1">
        <v>8</v>
      </c>
      <c r="H26" s="1" t="s">
        <v>34</v>
      </c>
      <c r="I26" s="8">
        <v>0.30417788225860354</v>
      </c>
      <c r="K26" s="1">
        <v>8</v>
      </c>
      <c r="L26" s="1" t="str">
        <f>'2022 Data'!R24</f>
        <v>SRH</v>
      </c>
      <c r="M26" s="23">
        <f>'2022 Data'!S24</f>
        <v>0.4676076015171915</v>
      </c>
      <c r="N26" s="1">
        <v>8</v>
      </c>
      <c r="O26" s="1" t="str">
        <f>'2022 Data'!D39</f>
        <v>SRH</v>
      </c>
      <c r="P26" s="23">
        <f>'2022 Data'!E39</f>
        <v>0.43579156057082685</v>
      </c>
      <c r="Q26" s="1">
        <v>8</v>
      </c>
      <c r="R26" s="1" t="str">
        <f>'2022 Data'!N39</f>
        <v>SRH</v>
      </c>
      <c r="S26" s="23">
        <f>'2022 Data'!O39</f>
        <v>0.39512033895750975</v>
      </c>
      <c r="U26" s="1">
        <v>8</v>
      </c>
      <c r="V26" s="1" t="str">
        <f>'2023 Data'!R24</f>
        <v>KKR</v>
      </c>
      <c r="W26" s="23">
        <f>'2023 Data'!S24</f>
        <v>0.32105878571637908</v>
      </c>
      <c r="X26" s="1">
        <v>8</v>
      </c>
      <c r="Y26" s="1" t="str">
        <f>'2023 Data'!D39</f>
        <v>PBKS</v>
      </c>
      <c r="Z26" s="23">
        <f>'2023 Data'!E39</f>
        <v>0.41758063349161012</v>
      </c>
      <c r="AA26" s="1">
        <v>8</v>
      </c>
      <c r="AB26" s="1" t="str">
        <f>'2023 Data'!N39</f>
        <v>PBKS</v>
      </c>
      <c r="AC26" s="23">
        <f>'2023 Data'!O39</f>
        <v>0.4370265930200864</v>
      </c>
      <c r="AE26" s="1">
        <v>8</v>
      </c>
      <c r="AF26" s="23" t="str">
        <f>'Overall Ranks'!B64</f>
        <v>PBKS</v>
      </c>
      <c r="AG26" s="23">
        <f>'Overall Ranks'!C64</f>
        <v>0.44131106267831238</v>
      </c>
      <c r="AH26" s="1">
        <v>8</v>
      </c>
      <c r="AI26" s="23" t="str">
        <f>'Overall Ranks'!B91</f>
        <v>DC</v>
      </c>
      <c r="AJ26" s="23">
        <f>'Overall Ranks'!C91</f>
        <v>0.44967957193192509</v>
      </c>
      <c r="AK26" s="1">
        <v>8</v>
      </c>
      <c r="AL26" s="23" t="str">
        <f>'Overall Ranks'!B78</f>
        <v>DC</v>
      </c>
      <c r="AM26" s="23">
        <f>'Overall Ranks'!C78</f>
        <v>0.48033274213520488</v>
      </c>
    </row>
    <row r="27" spans="1:39" x14ac:dyDescent="0.35">
      <c r="A27" s="1">
        <v>9</v>
      </c>
      <c r="B27" s="1" t="s">
        <v>34</v>
      </c>
      <c r="C27" s="8">
        <v>8.6101887049042231E-2</v>
      </c>
      <c r="D27" s="1">
        <v>9</v>
      </c>
      <c r="E27" s="1" t="s">
        <v>19</v>
      </c>
      <c r="F27" s="8">
        <v>0.31670892975373499</v>
      </c>
      <c r="G27" s="1">
        <v>9</v>
      </c>
      <c r="H27" s="1" t="s">
        <v>16</v>
      </c>
      <c r="I27" s="8">
        <v>0.29144648821804264</v>
      </c>
      <c r="K27" s="1">
        <v>9</v>
      </c>
      <c r="L27" s="1" t="str">
        <f>'2022 Data'!R25</f>
        <v>MI</v>
      </c>
      <c r="M27" s="23">
        <f>'2022 Data'!S25</f>
        <v>1.6925668633165334E-2</v>
      </c>
      <c r="N27" s="1">
        <v>9</v>
      </c>
      <c r="O27" s="1" t="str">
        <f>'2022 Data'!D40</f>
        <v>CSK</v>
      </c>
      <c r="P27" s="23">
        <f>'2022 Data'!E40</f>
        <v>0.13581502097964193</v>
      </c>
      <c r="Q27" s="1">
        <v>9</v>
      </c>
      <c r="R27" s="1" t="str">
        <f>'2022 Data'!N40</f>
        <v>CSK</v>
      </c>
      <c r="S27" s="23">
        <f>'2022 Data'!O40</f>
        <v>3.9769101444749974E-2</v>
      </c>
      <c r="U27" s="1">
        <v>9</v>
      </c>
      <c r="V27" s="1" t="str">
        <f>'2023 Data'!R25</f>
        <v>PBKS</v>
      </c>
      <c r="W27" s="23">
        <f>'2023 Data'!S25</f>
        <v>0.13716382646874406</v>
      </c>
      <c r="X27" s="1">
        <v>9</v>
      </c>
      <c r="Y27" s="1" t="str">
        <f>'2023 Data'!D40</f>
        <v>SRH</v>
      </c>
      <c r="Z27" s="23">
        <f>'2023 Data'!E40</f>
        <v>0.28087892513290214</v>
      </c>
      <c r="AA27" s="1">
        <v>9</v>
      </c>
      <c r="AB27" s="1" t="str">
        <f>'2023 Data'!N40</f>
        <v>SRH</v>
      </c>
      <c r="AC27" s="23">
        <f>'2023 Data'!O40</f>
        <v>0.37664641014713124</v>
      </c>
      <c r="AE27" s="1">
        <v>9</v>
      </c>
      <c r="AF27" s="23" t="str">
        <f>'Overall Ranks'!B65</f>
        <v>SRH</v>
      </c>
      <c r="AG27" s="23">
        <f>'Overall Ranks'!C65</f>
        <v>0.27456295861514385</v>
      </c>
      <c r="AH27" s="1">
        <v>9</v>
      </c>
      <c r="AI27" s="23" t="str">
        <f>'Overall Ranks'!B92</f>
        <v>SRH</v>
      </c>
      <c r="AJ27" s="23">
        <f>'Overall Ranks'!C92</f>
        <v>0.42869984840624314</v>
      </c>
      <c r="AK27" s="1">
        <v>9</v>
      </c>
      <c r="AL27" s="23" t="str">
        <f>'Overall Ranks'!B79</f>
        <v>SRH</v>
      </c>
      <c r="AM27" s="23">
        <f>'Overall Ranks'!C79</f>
        <v>0.41814207953524063</v>
      </c>
    </row>
    <row r="28" spans="1:39" x14ac:dyDescent="0.35">
      <c r="A28" s="1">
        <v>10</v>
      </c>
      <c r="B28" s="1" t="s">
        <v>37</v>
      </c>
      <c r="C28" s="8">
        <v>0</v>
      </c>
      <c r="D28" s="1">
        <v>10</v>
      </c>
      <c r="E28" s="1" t="s">
        <v>10</v>
      </c>
      <c r="F28" s="8">
        <v>0.20029623349344738</v>
      </c>
      <c r="G28" s="1">
        <v>10</v>
      </c>
      <c r="H28" s="1" t="s">
        <v>10</v>
      </c>
      <c r="I28" s="8">
        <v>0.19146363545434839</v>
      </c>
      <c r="K28" s="1">
        <v>10</v>
      </c>
      <c r="L28" s="1" t="str">
        <f>'2022 Data'!R26</f>
        <v>CSK</v>
      </c>
      <c r="M28" s="23">
        <f>'2022 Data'!S26</f>
        <v>0</v>
      </c>
      <c r="N28" s="1">
        <v>10</v>
      </c>
      <c r="O28" s="1" t="str">
        <f>'2022 Data'!D41</f>
        <v>MI</v>
      </c>
      <c r="P28" s="23">
        <f>'2022 Data'!E41</f>
        <v>0.11682456458068909</v>
      </c>
      <c r="Q28" s="1">
        <v>10</v>
      </c>
      <c r="R28" s="1" t="str">
        <f>'2022 Data'!N41</f>
        <v>MI</v>
      </c>
      <c r="S28" s="23">
        <f>'2022 Data'!O41</f>
        <v>8.462834316582667E-3</v>
      </c>
      <c r="U28" s="1">
        <v>10</v>
      </c>
      <c r="V28" s="1" t="str">
        <f>'2023 Data'!R26</f>
        <v>MI</v>
      </c>
      <c r="W28" s="23">
        <f>'2023 Data'!S26</f>
        <v>0</v>
      </c>
      <c r="X28" s="1">
        <v>10</v>
      </c>
      <c r="Y28" s="1" t="str">
        <f>'2023 Data'!D41</f>
        <v>DC</v>
      </c>
      <c r="Z28" s="23">
        <f>'2023 Data'!E41</f>
        <v>0.24832136602902416</v>
      </c>
      <c r="AA28" s="1">
        <v>10</v>
      </c>
      <c r="AB28" s="1" t="str">
        <f>'2023 Data'!N41</f>
        <v>DC</v>
      </c>
      <c r="AC28" s="23">
        <f>'2023 Data'!O41</f>
        <v>0.35154741057293765</v>
      </c>
      <c r="AE28" s="1">
        <v>10</v>
      </c>
      <c r="AF28" s="23" t="str">
        <f>'Overall Ranks'!B66</f>
        <v>MI</v>
      </c>
      <c r="AG28" s="23">
        <f>'Overall Ranks'!C66</f>
        <v>7.1249364948542046E-2</v>
      </c>
      <c r="AH28" s="1">
        <v>10</v>
      </c>
      <c r="AI28" s="23" t="str">
        <f>'Overall Ranks'!B93</f>
        <v>MI</v>
      </c>
      <c r="AJ28" s="23">
        <f>'Overall Ranks'!C93</f>
        <v>0.3270808498363677</v>
      </c>
      <c r="AK28" s="1">
        <v>10</v>
      </c>
      <c r="AL28" s="23" t="str">
        <f>'Overall Ranks'!B80</f>
        <v>MI</v>
      </c>
      <c r="AM28" s="23">
        <f>'Overall Ranks'!C80</f>
        <v>0.28345291492902763</v>
      </c>
    </row>
  </sheetData>
  <mergeCells count="24">
    <mergeCell ref="AE4:AG4"/>
    <mergeCell ref="AH4:AJ4"/>
    <mergeCell ref="AK4:AM4"/>
    <mergeCell ref="AE17:AG17"/>
    <mergeCell ref="AH17:AJ17"/>
    <mergeCell ref="AK17:AM17"/>
    <mergeCell ref="U4:W4"/>
    <mergeCell ref="X4:Z4"/>
    <mergeCell ref="AA4:AC4"/>
    <mergeCell ref="U17:W17"/>
    <mergeCell ref="X17:Z17"/>
    <mergeCell ref="AA17:AC17"/>
    <mergeCell ref="Q4:S4"/>
    <mergeCell ref="K17:M17"/>
    <mergeCell ref="N17:P17"/>
    <mergeCell ref="Q17:S17"/>
    <mergeCell ref="A4:C4"/>
    <mergeCell ref="D4:F4"/>
    <mergeCell ref="G4:I4"/>
    <mergeCell ref="A17:C17"/>
    <mergeCell ref="D17:F17"/>
    <mergeCell ref="G17:I17"/>
    <mergeCell ref="K4:M4"/>
    <mergeCell ref="N4:P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C4A1-CCFA-4529-A37C-B07C163A4C19}">
  <dimension ref="A1:AB106"/>
  <sheetViews>
    <sheetView topLeftCell="D1" workbookViewId="0">
      <selection activeCell="Z39" sqref="Z39"/>
    </sheetView>
  </sheetViews>
  <sheetFormatPr defaultRowHeight="14.5" x14ac:dyDescent="0.35"/>
  <cols>
    <col min="2" max="2" width="10.81640625" bestFit="1" customWidth="1"/>
    <col min="3" max="4" width="10.54296875" bestFit="1" customWidth="1"/>
    <col min="5" max="5" width="6.81640625" bestFit="1" customWidth="1"/>
    <col min="6" max="6" width="13.36328125" bestFit="1" customWidth="1"/>
    <col min="7" max="9" width="4.81640625" hidden="1" customWidth="1"/>
    <col min="10" max="10" width="7" customWidth="1"/>
    <col min="11" max="13" width="4.81640625" hidden="1" customWidth="1"/>
    <col min="14" max="14" width="8.1796875" customWidth="1"/>
    <col min="15" max="17" width="4.81640625" hidden="1" customWidth="1"/>
    <col min="18" max="18" width="10.81640625" bestFit="1" customWidth="1"/>
    <col min="19" max="19" width="10.7265625" bestFit="1" customWidth="1"/>
    <col min="20" max="20" width="8.90625" bestFit="1" customWidth="1"/>
    <col min="21" max="22" width="12.6328125" bestFit="1" customWidth="1"/>
    <col min="23" max="23" width="11.6328125" bestFit="1" customWidth="1"/>
    <col min="24" max="24" width="16.36328125" bestFit="1" customWidth="1"/>
    <col min="25" max="27" width="14.1796875" bestFit="1" customWidth="1"/>
    <col min="28" max="28" width="23.36328125" bestFit="1" customWidth="1"/>
  </cols>
  <sheetData>
    <row r="1" spans="1:28" s="33" customFormat="1" ht="39.5" customHeight="1" x14ac:dyDescent="0.35">
      <c r="A1" s="51" t="s">
        <v>95</v>
      </c>
      <c r="B1" s="51" t="s">
        <v>1</v>
      </c>
      <c r="C1" s="56" t="s">
        <v>96</v>
      </c>
      <c r="D1" s="56" t="s">
        <v>97</v>
      </c>
      <c r="E1" s="56" t="s">
        <v>98</v>
      </c>
      <c r="F1" s="57" t="s">
        <v>99</v>
      </c>
      <c r="G1" s="56" t="s">
        <v>100</v>
      </c>
      <c r="H1" s="56" t="s">
        <v>101</v>
      </c>
      <c r="I1" s="56" t="s">
        <v>102</v>
      </c>
      <c r="J1" s="58" t="s">
        <v>103</v>
      </c>
      <c r="K1" s="59" t="s">
        <v>104</v>
      </c>
      <c r="L1" s="59" t="s">
        <v>105</v>
      </c>
      <c r="M1" s="59" t="s">
        <v>106</v>
      </c>
      <c r="N1" s="59" t="s">
        <v>111</v>
      </c>
      <c r="O1" s="59" t="s">
        <v>107</v>
      </c>
      <c r="P1" s="59" t="s">
        <v>108</v>
      </c>
      <c r="Q1" s="59" t="s">
        <v>109</v>
      </c>
      <c r="R1" s="53" t="s">
        <v>110</v>
      </c>
      <c r="S1" s="60" t="s">
        <v>112</v>
      </c>
      <c r="T1" s="60" t="s">
        <v>113</v>
      </c>
      <c r="U1" s="60" t="s">
        <v>114</v>
      </c>
      <c r="V1" s="60" t="s">
        <v>115</v>
      </c>
      <c r="W1" s="61" t="s">
        <v>122</v>
      </c>
      <c r="X1" s="61" t="s">
        <v>123</v>
      </c>
      <c r="Y1" s="61" t="s">
        <v>116</v>
      </c>
      <c r="Z1" s="61" t="s">
        <v>117</v>
      </c>
      <c r="AA1" s="61" t="s">
        <v>118</v>
      </c>
      <c r="AB1" s="60" t="s">
        <v>119</v>
      </c>
    </row>
    <row r="2" spans="1:28" x14ac:dyDescent="0.35">
      <c r="A2" s="1">
        <v>1</v>
      </c>
      <c r="B2" s="1" t="s">
        <v>10</v>
      </c>
      <c r="C2" s="8">
        <f>INDEX('2022 Data'!C$17:C$26,
       MATCH('Overall Ranks'!B2,'2022 Data'!B$17:B$26,0))</f>
        <v>0.7142857142857143</v>
      </c>
      <c r="D2" s="23">
        <f>INDEX('2023 Data'!$C$17:$C$26,
       MATCH($B2,'2023 Data'!$B$17:$B$26,0))</f>
        <v>0.7142857142857143</v>
      </c>
      <c r="E2" s="23">
        <f>INDEX('2024 Data'!$C$17:$C$26,
       MATCH($B2,'2024 Data'!$B$17:$B$26,0))</f>
        <v>0.35714285714285715</v>
      </c>
      <c r="F2" s="11">
        <f>AVERAGE(C2:E2)</f>
        <v>0.59523809523809523</v>
      </c>
      <c r="G2" s="11">
        <f>INDEX('2022 Data'!H$17:H$26,
       MATCH(B2,'2022 Data'!F$17:F$26,0))</f>
        <v>1</v>
      </c>
      <c r="H2" s="72">
        <f>INDEX('2023 Data'!$H$17:$H$26,
       MATCH($B2,'2023 Data'!$F$17:$F$26,0))</f>
        <v>1</v>
      </c>
      <c r="I2" s="72">
        <f>INDEX('2024 Data'!$H$17:$H$26,
       MATCH($B2,'2024 Data'!$F$17:$F$26,0))</f>
        <v>0</v>
      </c>
      <c r="J2" s="11">
        <f>AVERAGE(G2:I2)</f>
        <v>0.66666666666666663</v>
      </c>
      <c r="K2" s="73">
        <f>INDEX('2022 Data'!O$17:O$26,
       MATCH('Overall Ranks'!B2,'2022 Data'!N$17:N$26,0))</f>
        <v>0.41632766251325753</v>
      </c>
      <c r="L2" s="73">
        <f>INDEX('2023 Data'!O$17:O$26,
       MATCH('Overall Ranks'!B2,'2023 Data'!N$17:N$26,0))</f>
        <v>0.73213478197219162</v>
      </c>
      <c r="M2" s="73">
        <f>INDEX('2024 Data'!O$17:O$26,
       MATCH('Overall Ranks'!B2,'2024 Data'!N$17:N$26,0))</f>
        <v>0</v>
      </c>
      <c r="N2" s="11">
        <f>AVERAGE(K2:M2)</f>
        <v>0.38282081482848307</v>
      </c>
      <c r="O2" s="12">
        <f>INDEX('2022 Data'!S$17:S$26,
MATCH('Overall Ranks'!B2,'2022 Data'!R$17:R$26,0))</f>
        <v>1</v>
      </c>
      <c r="P2" s="12">
        <f>INDEX('2023 Data'!S$17:S$26,
       MATCH('Overall Ranks'!B2,'2023 Data'!R$17:R$26,0))</f>
        <v>1</v>
      </c>
      <c r="Q2" s="12">
        <f>INDEX('2024 Data'!S$17:S$26,
       MATCH('Overall Ranks'!B2,'2024 Data'!R$17:R$26,0))</f>
        <v>0.38292727090869677</v>
      </c>
      <c r="R2" s="10">
        <f>AVERAGE(O2:Q2)</f>
        <v>0.79430909030289898</v>
      </c>
      <c r="S2" s="12">
        <f>INDEX('2022 Data'!E$32:E$41,
       MATCH('Overall Ranks'!B2,'2022 Data'!D$32:D$41,0))</f>
        <v>0.76897981821693728</v>
      </c>
      <c r="T2" s="12">
        <f>INDEX('2023 Data'!E$32:E$41,
       MATCH('Overall Ranks'!B2,'2023 Data'!D$32:D$41,0))</f>
        <v>0.8321412421087242</v>
      </c>
      <c r="U2" s="12">
        <f>INDEX('2024 Data'!E$32:E$41,
       MATCH('Overall Ranks'!B2,'2024 Data'!D$32:D$41,0))</f>
        <v>0.20029623349344738</v>
      </c>
      <c r="V2" s="10">
        <f>AVERAGE(S2:U2)</f>
        <v>0.60047243127303629</v>
      </c>
      <c r="W2" s="73">
        <f>_xlfn.STDEV.P(S2:U2)</f>
        <v>0.28413973477734039</v>
      </c>
      <c r="X2" s="73">
        <f t="shared" ref="X2:X11" si="0">1-(W2-MIN(W$2:W$11))/(MAX(W$2:W$11)- MIN(W$2:W$11))</f>
        <v>0</v>
      </c>
      <c r="Y2" s="12">
        <f>INDEX('2022 Data'!O$32:O$41,
       MATCH('Overall Ranks'!B2,'2022 Data'!N$32:N$41,0))</f>
        <v>0.70816383125662874</v>
      </c>
      <c r="Z2" s="12">
        <f>INDEX('2023 Data'!O$32:O$41,
       MATCH('Overall Ranks'!B2,'2023 Data'!N$32:N$41,0))</f>
        <v>0.86606739098609586</v>
      </c>
      <c r="AA2" s="12">
        <f>INDEX('2024 Data'!H$32:H$41,
       MATCH('Overall Ranks'!B2,'2024 Data'!G$32:G$41,0))</f>
        <v>0.19146363545434839</v>
      </c>
      <c r="AB2" s="10">
        <f>AVERAGE(Y2:AA2)</f>
        <v>0.58856495256569097</v>
      </c>
    </row>
    <row r="3" spans="1:28" ht="14.5" customHeight="1" x14ac:dyDescent="0.35">
      <c r="A3" s="1">
        <v>2</v>
      </c>
      <c r="B3" s="1" t="s">
        <v>22</v>
      </c>
      <c r="C3" s="8">
        <f>INDEX('2022 Data'!C$17:C$26,
       MATCH('Overall Ranks'!B3,'2022 Data'!B$17:B$26,0))</f>
        <v>0.6428571428571429</v>
      </c>
      <c r="D3" s="23">
        <f>INDEX('2023 Data'!$C$17:$C$26,
       MATCH($B3,'2023 Data'!$B$17:$B$26,0))</f>
        <v>0.5</v>
      </c>
      <c r="E3" s="23">
        <f>INDEX('2024 Data'!$C$17:$C$26,
       MATCH($B3,'2024 Data'!$B$17:$B$26,0))</f>
        <v>0.5714285714285714</v>
      </c>
      <c r="F3" s="11">
        <f t="shared" ref="F3:F11" si="1">AVERAGE(C3:E3)</f>
        <v>0.5714285714285714</v>
      </c>
      <c r="G3" s="11">
        <f>INDEX('2022 Data'!H$17:H$26,
       MATCH(B3,'2022 Data'!F$17:F$26,0))</f>
        <v>0.98928042151393203</v>
      </c>
      <c r="H3" s="72">
        <f>INDEX('2023 Data'!$H$17:$H$26,
       MATCH($B3,'2023 Data'!$F$17:$F$26,0))</f>
        <v>0.59093891974528956</v>
      </c>
      <c r="I3" s="72">
        <f>INDEX('2024 Data'!$H$17:$H$26,
       MATCH($B3,'2024 Data'!$F$17:$F$26,0))</f>
        <v>0.53783289552157276</v>
      </c>
      <c r="J3" s="11">
        <f t="shared" ref="J3:J11" si="2">AVERAGE(G3:I3)</f>
        <v>0.70601741226026482</v>
      </c>
      <c r="K3" s="73">
        <f>INDEX('2022 Data'!O$17:O$26,
       MATCH('Overall Ranks'!B3,'2022 Data'!N$17:N$26,0))</f>
        <v>1</v>
      </c>
      <c r="L3" s="73">
        <f>INDEX('2023 Data'!O$17:O$26,
       MATCH('Overall Ranks'!B3,'2023 Data'!N$17:N$26,0))</f>
        <v>0.58466808548760174</v>
      </c>
      <c r="M3" s="73">
        <f>INDEX('2024 Data'!O$17:O$26,
       MATCH('Overall Ranks'!B3,'2024 Data'!N$17:N$26,0))</f>
        <v>0.33795157707849105</v>
      </c>
      <c r="N3" s="11">
        <f t="shared" ref="N3:N11" si="3">AVERAGE(K3:M3)</f>
        <v>0.64087322085536425</v>
      </c>
      <c r="O3" s="12">
        <f>INDEX('2022 Data'!S$17:S$26,
MATCH('Overall Ranks'!B3,'2022 Data'!R$17:R$26,0))</f>
        <v>0.66234418540941831</v>
      </c>
      <c r="P3" s="12">
        <f>INDEX('2023 Data'!S$17:S$26,
       MATCH('Overall Ranks'!B3,'2023 Data'!R$17:R$26,0))</f>
        <v>0.68135114171902778</v>
      </c>
      <c r="Q3" s="12">
        <f>INDEX('2024 Data'!S$17:S$26,
       MATCH('Overall Ranks'!B3,'2024 Data'!R$17:R$26,0))</f>
        <v>0.86484238302128025</v>
      </c>
      <c r="R3" s="11">
        <f t="shared" ref="R3:R11" si="4">AVERAGE(O3:Q3)</f>
        <v>0.73617923671657548</v>
      </c>
      <c r="S3" s="12">
        <f>INDEX('2022 Data'!E$32:E$41,
       MATCH('Overall Ranks'!B3,'2022 Data'!D$32:D$41,0))</f>
        <v>0.80381459033275282</v>
      </c>
      <c r="T3" s="12">
        <f>INDEX('2023 Data'!E$32:E$41,
       MATCH('Overall Ranks'!B3,'2023 Data'!D$32:D$41,0))</f>
        <v>0.56687101829169695</v>
      </c>
      <c r="U3" s="12">
        <f>INDEX('2024 Data'!E$32:E$41,
       MATCH('Overall Ranks'!B3,'2024 Data'!D$32:D$41,0))</f>
        <v>0.56034632532071194</v>
      </c>
      <c r="V3" s="10">
        <f t="shared" ref="V3:V11" si="5">AVERAGE(S3:U3)</f>
        <v>0.6436773113150539</v>
      </c>
      <c r="W3" s="73">
        <f t="shared" ref="W3:W11" si="6">_xlfn.STDEV.P(S3:U3)</f>
        <v>0.11326548165846329</v>
      </c>
      <c r="X3" s="73">
        <f t="shared" si="0"/>
        <v>0.63823424108848226</v>
      </c>
      <c r="Y3" s="12">
        <f>INDEX('2022 Data'!O$32:O$41,
       MATCH('Overall Ranks'!B3,'2022 Data'!N$32:N$41,0))</f>
        <v>0.83117209270470915</v>
      </c>
      <c r="Z3" s="12">
        <f>INDEX('2023 Data'!O$32:O$41,
       MATCH('Overall Ranks'!B3,'2023 Data'!N$32:N$41,0))</f>
        <v>0.63300961360331476</v>
      </c>
      <c r="AA3" s="12">
        <f>INDEX('2024 Data'!H$32:H$41,
       MATCH('Overall Ranks'!B3,'2024 Data'!G$32:G$41,0))</f>
        <v>0.60139698004988562</v>
      </c>
      <c r="AB3" s="10">
        <f t="shared" ref="AB3:AB11" si="7">AVERAGE(Y3:AA3)</f>
        <v>0.68852622878596981</v>
      </c>
    </row>
    <row r="4" spans="1:28" ht="14.5" customHeight="1" x14ac:dyDescent="0.35">
      <c r="A4" s="1">
        <v>3</v>
      </c>
      <c r="B4" s="1" t="s">
        <v>16</v>
      </c>
      <c r="C4" s="8">
        <f>INDEX('2022 Data'!C$17:C$26,
       MATCH('Overall Ranks'!B4,'2022 Data'!B$17:B$26,0))</f>
        <v>0.6428571428571429</v>
      </c>
      <c r="D4" s="23">
        <f>INDEX('2023 Data'!$C$17:$C$26,
       MATCH($B4,'2023 Data'!$B$17:$B$26,0))</f>
        <v>0.5714285714285714</v>
      </c>
      <c r="E4" s="23">
        <f>INDEX('2024 Data'!$C$17:$C$26,
       MATCH($B4,'2024 Data'!$B$17:$B$26,0))</f>
        <v>0.5</v>
      </c>
      <c r="F4" s="11">
        <f t="shared" si="1"/>
        <v>0.57142857142857151</v>
      </c>
      <c r="G4" s="11">
        <f>INDEX('2022 Data'!H$17:H$26,
       MATCH(B4,'2022 Data'!F$17:F$26,0))</f>
        <v>0.95939309807681694</v>
      </c>
      <c r="H4" s="72">
        <f>INDEX('2023 Data'!$H$17:$H$26,
       MATCH($B4,'2023 Data'!$F$17:$F$26,0))</f>
        <v>0.67541728276350554</v>
      </c>
      <c r="I4" s="72">
        <f>INDEX('2024 Data'!$H$17:$H$26,
       MATCH($B4,'2024 Data'!$F$17:$F$26,0))</f>
        <v>0.16126138319035346</v>
      </c>
      <c r="J4" s="11">
        <f t="shared" si="2"/>
        <v>0.59869058801022534</v>
      </c>
      <c r="K4" s="73">
        <f>INDEX('2022 Data'!O$17:O$26,
       MATCH('Overall Ranks'!B4,'2022 Data'!N$17:N$26,0))</f>
        <v>0.45461146281208581</v>
      </c>
      <c r="L4" s="73">
        <f>INDEX('2023 Data'!O$17:O$26,
       MATCH('Overall Ranks'!B4,'2023 Data'!N$17:N$26,0))</f>
        <v>0.54799314651467967</v>
      </c>
      <c r="M4" s="73">
        <f>INDEX('2024 Data'!O$17:O$26,
       MATCH('Overall Ranks'!B4,'2024 Data'!N$17:N$26,0))</f>
        <v>0.18675793105693944</v>
      </c>
      <c r="N4" s="11">
        <f t="shared" si="3"/>
        <v>0.39645418012790162</v>
      </c>
      <c r="O4" s="12">
        <f>INDEX('2022 Data'!S$17:S$26,
MATCH('Overall Ranks'!B4,'2022 Data'!R$17:R$26,0))</f>
        <v>0.92938424745736881</v>
      </c>
      <c r="P4" s="12">
        <f>INDEX('2023 Data'!S$17:S$26,
       MATCH('Overall Ranks'!B4,'2023 Data'!R$17:R$26,0))</f>
        <v>0.83423571616173409</v>
      </c>
      <c r="Q4" s="12">
        <f>INDEX('2024 Data'!S$17:S$26,
       MATCH('Overall Ranks'!B4,'2024 Data'!R$17:R$26,0))</f>
        <v>0.3961350453791459</v>
      </c>
      <c r="R4" s="11">
        <f t="shared" si="4"/>
        <v>0.7199183363327496</v>
      </c>
      <c r="S4" s="12">
        <f>INDEX('2022 Data'!E$32:E$41,
       MATCH('Overall Ranks'!B4,'2022 Data'!D$32:D$41,0))</f>
        <v>0.72732106134308383</v>
      </c>
      <c r="T4" s="12">
        <f>INDEX('2023 Data'!E$32:E$41,
       MATCH('Overall Ranks'!B4,'2023 Data'!D$32:D$41,0))</f>
        <v>0.63215973598950093</v>
      </c>
      <c r="U4" s="12">
        <f>INDEX('2024 Data'!E$32:E$41,
       MATCH('Overall Ranks'!B4,'2024 Data'!D$32:D$41,0))</f>
        <v>0.33708718881584809</v>
      </c>
      <c r="V4" s="10">
        <f t="shared" si="5"/>
        <v>0.56552266204947765</v>
      </c>
      <c r="W4" s="73">
        <f t="shared" si="6"/>
        <v>0.16613447070444001</v>
      </c>
      <c r="X4" s="73">
        <f t="shared" si="0"/>
        <v>0.44076271752665341</v>
      </c>
      <c r="Y4" s="12">
        <f>INDEX('2022 Data'!O$32:O$41,
       MATCH('Overall Ranks'!B4,'2022 Data'!N$32:N$41,0))</f>
        <v>0.69199785513472734</v>
      </c>
      <c r="Z4" s="12">
        <f>INDEX('2023 Data'!O$32:O$41,
       MATCH('Overall Ranks'!B4,'2023 Data'!N$32:N$41,0))</f>
        <v>0.69111443133820694</v>
      </c>
      <c r="AA4" s="12">
        <f>INDEX('2024 Data'!H$32:H$41,
       MATCH('Overall Ranks'!B4,'2024 Data'!G$32:G$41,0))</f>
        <v>0.29144648821804264</v>
      </c>
      <c r="AB4" s="10">
        <f t="shared" si="7"/>
        <v>0.55818625823032564</v>
      </c>
    </row>
    <row r="5" spans="1:28" x14ac:dyDescent="0.35">
      <c r="A5" s="1">
        <v>4</v>
      </c>
      <c r="B5" s="1" t="s">
        <v>25</v>
      </c>
      <c r="C5" s="8">
        <f>INDEX('2022 Data'!C$17:C$26,
       MATCH('Overall Ranks'!B5,'2022 Data'!B$17:B$26,0))</f>
        <v>0.5714285714285714</v>
      </c>
      <c r="D5" s="23">
        <f>INDEX('2023 Data'!$C$17:$C$26,
       MATCH($B5,'2023 Data'!$B$17:$B$26,0))</f>
        <v>0.5</v>
      </c>
      <c r="E5" s="23">
        <f>INDEX('2024 Data'!$C$17:$C$26,
       MATCH($B5,'2024 Data'!$B$17:$B$26,0))</f>
        <v>0.5</v>
      </c>
      <c r="F5" s="11">
        <f t="shared" si="1"/>
        <v>0.52380952380952384</v>
      </c>
      <c r="G5" s="11">
        <f>INDEX('2022 Data'!H$17:H$26,
       MATCH(B5,'2022 Data'!F$17:F$26,0))</f>
        <v>0.63920386580665511</v>
      </c>
      <c r="H5" s="72">
        <f>INDEX('2023 Data'!$H$17:$H$26,
       MATCH($B5,'2023 Data'!$F$17:$F$26,0))</f>
        <v>0.58706649308311198</v>
      </c>
      <c r="I5" s="72">
        <f>INDEX('2024 Data'!$H$17:$H$26,
       MATCH($B5,'2024 Data'!$F$17:$F$26,0))</f>
        <v>0.61140235625017769</v>
      </c>
      <c r="J5" s="11">
        <f t="shared" si="2"/>
        <v>0.61255757171331504</v>
      </c>
      <c r="K5" s="73">
        <f>INDEX('2022 Data'!O$17:O$26,
       MATCH('Overall Ranks'!B5,'2022 Data'!N$17:N$26,0))</f>
        <v>0.16945411716064898</v>
      </c>
      <c r="L5" s="73">
        <f>INDEX('2023 Data'!O$17:O$26,
       MATCH('Overall Ranks'!B5,'2023 Data'!N$17:N$26,0))</f>
        <v>0.70040781098971927</v>
      </c>
      <c r="M5" s="73">
        <f>INDEX('2024 Data'!O$17:O$26,
       MATCH('Overall Ranks'!B5,'2024 Data'!N$17:N$26,0))</f>
        <v>0.82226370063058174</v>
      </c>
      <c r="N5" s="11">
        <f t="shared" si="3"/>
        <v>0.56404187626031665</v>
      </c>
      <c r="O5" s="12">
        <f>INDEX('2022 Data'!S$17:S$26,
MATCH('Overall Ranks'!B5,'2022 Data'!R$17:R$26,0))</f>
        <v>0.69907465974025118</v>
      </c>
      <c r="P5" s="12">
        <f>INDEX('2023 Data'!S$17:S$26,
       MATCH('Overall Ranks'!B5,'2023 Data'!R$17:R$26,0))</f>
        <v>0.52639024111455235</v>
      </c>
      <c r="Q5" s="12">
        <f>INDEX('2024 Data'!S$17:S$26,
       MATCH('Overall Ranks'!B5,'2024 Data'!R$17:R$26,0))</f>
        <v>0.25750679898227763</v>
      </c>
      <c r="R5" s="11">
        <f t="shared" si="4"/>
        <v>0.49432389994569376</v>
      </c>
      <c r="S5" s="12">
        <f>INDEX('2022 Data'!E$32:E$41,
       MATCH('Overall Ranks'!B5,'2022 Data'!D$32:D$41,0))</f>
        <v>0.52712441741625982</v>
      </c>
      <c r="T5" s="12">
        <f>INDEX('2023 Data'!E$32:E$41,
       MATCH('Overall Ranks'!B5,'2023 Data'!D$32:D$41,0))</f>
        <v>0.56580672163590473</v>
      </c>
      <c r="U5" s="12">
        <f>INDEX('2024 Data'!E$32:E$41,
       MATCH('Overall Ranks'!B5,'2024 Data'!D$32:D$41,0))</f>
        <v>0.55592934903600233</v>
      </c>
      <c r="V5" s="10">
        <f t="shared" si="5"/>
        <v>0.54962016269605563</v>
      </c>
      <c r="W5" s="73">
        <f t="shared" si="6"/>
        <v>1.6410048530080934E-2</v>
      </c>
      <c r="X5" s="73">
        <f t="shared" si="0"/>
        <v>1</v>
      </c>
      <c r="Y5" s="12">
        <f>INDEX('2022 Data'!O$32:O$41,
       MATCH('Overall Ranks'!B5,'2022 Data'!N$32:N$41,0))</f>
        <v>0.43426438845045007</v>
      </c>
      <c r="Z5" s="12">
        <f>INDEX('2023 Data'!O$32:O$41,
       MATCH('Overall Ranks'!B5,'2023 Data'!N$32:N$41,0))</f>
        <v>0.61339902605213581</v>
      </c>
      <c r="AA5" s="12">
        <f>INDEX('2024 Data'!H$32:H$41,
       MATCH('Overall Ranks'!B5,'2024 Data'!G$32:G$41,0))</f>
        <v>0.53988524980642971</v>
      </c>
      <c r="AB5" s="10">
        <f t="shared" si="7"/>
        <v>0.52918288810300518</v>
      </c>
    </row>
    <row r="6" spans="1:28" x14ac:dyDescent="0.35">
      <c r="A6" s="1">
        <v>5</v>
      </c>
      <c r="B6" s="1" t="s">
        <v>34</v>
      </c>
      <c r="C6" s="8">
        <f>INDEX('2022 Data'!C$17:C$26,
       MATCH('Overall Ranks'!B6,'2022 Data'!B$17:B$26,0))</f>
        <v>0.5</v>
      </c>
      <c r="D6" s="23">
        <f>INDEX('2023 Data'!$C$17:$C$26,
       MATCH($B6,'2023 Data'!$B$17:$B$26,0))</f>
        <v>0.35714285714285715</v>
      </c>
      <c r="E6" s="23">
        <f>INDEX('2024 Data'!$C$17:$C$26,
       MATCH($B6,'2024 Data'!$B$17:$B$26,0))</f>
        <v>0.5</v>
      </c>
      <c r="F6" s="11">
        <f t="shared" si="1"/>
        <v>0.45238095238095238</v>
      </c>
      <c r="G6" s="11">
        <f>INDEX('2022 Data'!H$17:H$26,
       MATCH(B6,'2022 Data'!F$17:F$26,0))</f>
        <v>0.92628770333904631</v>
      </c>
      <c r="H6" s="72">
        <f>INDEX('2023 Data'!$H$17:$H$26,
       MATCH($B6,'2023 Data'!$F$17:$F$26,0))</f>
        <v>0</v>
      </c>
      <c r="I6" s="72">
        <f>INDEX('2024 Data'!$H$17:$H$26,
       MATCH($B6,'2024 Data'!$F$17:$F$26,0))</f>
        <v>0.27167820866771752</v>
      </c>
      <c r="J6" s="11">
        <f t="shared" si="2"/>
        <v>0.39932197066892128</v>
      </c>
      <c r="K6" s="73">
        <f>INDEX('2022 Data'!O$17:O$26,
       MATCH('Overall Ranks'!B6,'2022 Data'!N$17:N$26,0))</f>
        <v>0.96555866283697267</v>
      </c>
      <c r="L6" s="73">
        <f>INDEX('2023 Data'!O$17:O$26,
       MATCH('Overall Ranks'!B6,'2023 Data'!N$17:N$26,0))</f>
        <v>0</v>
      </c>
      <c r="M6" s="73">
        <f>INDEX('2024 Data'!O$17:O$26,
       MATCH('Overall Ranks'!B6,'2024 Data'!N$17:N$26,0))</f>
        <v>0.52225387746816487</v>
      </c>
      <c r="N6" s="11">
        <f t="shared" si="3"/>
        <v>0.49593751343504583</v>
      </c>
      <c r="O6" s="12">
        <f>INDEX('2022 Data'!S$17:S$26,
MATCH('Overall Ranks'!B6,'2022 Data'!R$17:R$26,0))</f>
        <v>0.60498720431117448</v>
      </c>
      <c r="P6" s="12">
        <f>INDEX('2023 Data'!S$17:S$26,
       MATCH('Overall Ranks'!B6,'2023 Data'!R$17:R$26,0))</f>
        <v>0.70309482114587529</v>
      </c>
      <c r="Q6" s="12">
        <f>INDEX('2024 Data'!S$17:S$26,
       MATCH('Overall Ranks'!B6,'2024 Data'!R$17:R$26,0))</f>
        <v>8.6101887049042231E-2</v>
      </c>
      <c r="R6" s="11">
        <f t="shared" si="4"/>
        <v>0.46472797083536399</v>
      </c>
      <c r="S6" s="12">
        <f>INDEX('2022 Data'!E$32:E$41,
       MATCH('Overall Ranks'!B6,'2022 Data'!D$32:D$41,0))</f>
        <v>0.71543173904883228</v>
      </c>
      <c r="T6" s="12">
        <f>INDEX('2023 Data'!E$32:E$41,
       MATCH('Overall Ranks'!B6,'2023 Data'!D$32:D$41,0))</f>
        <v>0.24832136602902416</v>
      </c>
      <c r="U6" s="12">
        <f>INDEX('2024 Data'!E$32:E$41,
       MATCH('Overall Ranks'!B6,'2024 Data'!D$32:D$41,0))</f>
        <v>0.38528561071791873</v>
      </c>
      <c r="V6" s="10">
        <f t="shared" si="5"/>
        <v>0.44967957193192509</v>
      </c>
      <c r="W6" s="73">
        <f t="shared" si="6"/>
        <v>0.19605774970026771</v>
      </c>
      <c r="X6" s="73">
        <f t="shared" si="0"/>
        <v>0.32899595973726026</v>
      </c>
      <c r="Y6" s="12">
        <f>INDEX('2022 Data'!O$32:O$41,
       MATCH('Overall Ranks'!B6,'2022 Data'!N$32:N$41,0))</f>
        <v>0.78527293357407357</v>
      </c>
      <c r="Z6" s="12">
        <f>INDEX('2023 Data'!O$32:O$41,
       MATCH('Overall Ranks'!B6,'2023 Data'!N$32:N$41,0))</f>
        <v>0.35154741057293765</v>
      </c>
      <c r="AA6" s="12">
        <f>INDEX('2024 Data'!H$32:H$41,
       MATCH('Overall Ranks'!B6,'2024 Data'!G$32:G$41,0))</f>
        <v>0.30417788225860354</v>
      </c>
      <c r="AB6" s="10">
        <f t="shared" si="7"/>
        <v>0.48033274213520488</v>
      </c>
    </row>
    <row r="7" spans="1:28" x14ac:dyDescent="0.35">
      <c r="A7" s="1">
        <v>6</v>
      </c>
      <c r="B7" s="1" t="s">
        <v>31</v>
      </c>
      <c r="C7" s="8">
        <f>INDEX('2022 Data'!C$17:C$26,
       MATCH('Overall Ranks'!B7,'2022 Data'!B$17:B$26,0))</f>
        <v>0.5</v>
      </c>
      <c r="D7" s="23">
        <f>INDEX('2023 Data'!$C$17:$C$26,
       MATCH($B7,'2023 Data'!$B$17:$B$26,0))</f>
        <v>0.42857142857142855</v>
      </c>
      <c r="E7" s="23">
        <f>INDEX('2024 Data'!$C$17:$C$26,
       MATCH($B7,'2024 Data'!$B$17:$B$26,0))</f>
        <v>0.35714285714285715</v>
      </c>
      <c r="F7" s="11">
        <f t="shared" si="1"/>
        <v>0.4285714285714286</v>
      </c>
      <c r="G7" s="11">
        <f>INDEX('2022 Data'!H$17:H$26,
       MATCH(B7,'2022 Data'!F$17:F$26,0))</f>
        <v>0.87964688008574987</v>
      </c>
      <c r="H7" s="72">
        <f>INDEX('2023 Data'!$H$17:$H$26,
       MATCH($B7,'2023 Data'!$F$17:$F$26,0))</f>
        <v>0.31279846471376538</v>
      </c>
      <c r="I7" s="72">
        <f>INDEX('2024 Data'!$H$17:$H$26,
       MATCH($B7,'2024 Data'!$F$17:$F$26,0))</f>
        <v>0.2861568871325717</v>
      </c>
      <c r="J7" s="11">
        <f t="shared" si="2"/>
        <v>0.492867410644029</v>
      </c>
      <c r="K7" s="73">
        <f>INDEX('2022 Data'!O$17:O$26,
       MATCH('Overall Ranks'!B7,'2022 Data'!N$17:N$26,0))</f>
        <v>0.78790088813938952</v>
      </c>
      <c r="L7" s="73">
        <f>INDEX('2023 Data'!O$17:O$26,
       MATCH('Overall Ranks'!B7,'2023 Data'!N$17:N$26,0))</f>
        <v>0.73688935957142876</v>
      </c>
      <c r="M7" s="73">
        <f>INDEX('2024 Data'!O$17:O$26,
       MATCH('Overall Ranks'!B7,'2024 Data'!N$17:N$26,0))</f>
        <v>0.24469066068458853</v>
      </c>
      <c r="N7" s="11">
        <f t="shared" si="3"/>
        <v>0.58982696946513558</v>
      </c>
      <c r="O7" s="12">
        <f>INDEX('2022 Data'!S$17:S$26,
MATCH('Overall Ranks'!B7,'2022 Data'!R$17:R$26,0))</f>
        <v>0.64714800572160625</v>
      </c>
      <c r="P7" s="12">
        <f>INDEX('2023 Data'!S$17:S$26,
       MATCH('Overall Ranks'!B7,'2023 Data'!R$17:R$26,0))</f>
        <v>0.13716382646874406</v>
      </c>
      <c r="Q7" s="12">
        <f>INDEX('2024 Data'!S$17:S$26,
       MATCH('Overall Ranks'!B7,'2024 Data'!R$17:R$26,0))</f>
        <v>0.53962135584458704</v>
      </c>
      <c r="R7" s="11">
        <f t="shared" si="4"/>
        <v>0.44131106267831238</v>
      </c>
      <c r="S7" s="12">
        <f>INDEX('2022 Data'!E$32:E$41,
       MATCH('Overall Ranks'!B7,'2022 Data'!D$32:D$41,0))</f>
        <v>0.67456409850755639</v>
      </c>
      <c r="T7" s="12">
        <f>INDEX('2023 Data'!E$32:E$41,
       MATCH('Overall Ranks'!B7,'2023 Data'!D$32:D$41,0))</f>
        <v>0.41758063349161012</v>
      </c>
      <c r="U7" s="12">
        <f>INDEX('2024 Data'!E$32:E$41,
       MATCH('Overall Ranks'!B7,'2024 Data'!D$32:D$41,0))</f>
        <v>0.34427770015389153</v>
      </c>
      <c r="V7" s="10">
        <f t="shared" si="5"/>
        <v>0.47880747738435264</v>
      </c>
      <c r="W7" s="73">
        <f t="shared" si="6"/>
        <v>0.14161878652250123</v>
      </c>
      <c r="X7" s="73">
        <f t="shared" si="0"/>
        <v>0.53233151038475113</v>
      </c>
      <c r="Y7" s="12">
        <f>INDEX('2022 Data'!O$32:O$41,
       MATCH('Overall Ranks'!B7,'2022 Data'!N$32:N$41,0))</f>
        <v>0.71752444693049788</v>
      </c>
      <c r="Z7" s="12">
        <f>INDEX('2023 Data'!O$32:O$41,
       MATCH('Overall Ranks'!B7,'2023 Data'!N$32:N$41,0))</f>
        <v>0.4370265930200864</v>
      </c>
      <c r="AA7" s="12">
        <f>INDEX('2024 Data'!H$32:H$41,
       MATCH('Overall Ranks'!B7,'2024 Data'!G$32:G$41,0))</f>
        <v>0.3921560082645878</v>
      </c>
      <c r="AB7" s="10">
        <f t="shared" si="7"/>
        <v>0.51556901607172401</v>
      </c>
    </row>
    <row r="8" spans="1:28" x14ac:dyDescent="0.35">
      <c r="A8" s="1">
        <v>7</v>
      </c>
      <c r="B8" s="1" t="s">
        <v>28</v>
      </c>
      <c r="C8" s="8">
        <f>INDEX('2022 Data'!C$17:C$26,
       MATCH('Overall Ranks'!B8,'2022 Data'!B$17:B$26,0))</f>
        <v>0.42857142857142855</v>
      </c>
      <c r="D8" s="23">
        <f>INDEX('2023 Data'!$C$17:$C$26,
       MATCH($B8,'2023 Data'!$B$17:$B$26,0))</f>
        <v>0.42857142857142855</v>
      </c>
      <c r="E8" s="23">
        <f>INDEX('2024 Data'!$C$17:$C$26,
       MATCH($B8,'2024 Data'!$B$17:$B$26,0))</f>
        <v>0.6428571428571429</v>
      </c>
      <c r="F8" s="11">
        <f t="shared" si="1"/>
        <v>0.5</v>
      </c>
      <c r="G8" s="11">
        <f>INDEX('2022 Data'!H$17:H$26,
       MATCH(B8,'2022 Data'!F$17:F$26,0))</f>
        <v>0.9170832806370024</v>
      </c>
      <c r="H8" s="72">
        <f>INDEX('2023 Data'!$H$17:$H$26,
       MATCH($B8,'2023 Data'!$F$17:$F$26,0))</f>
        <v>0.35699409981464691</v>
      </c>
      <c r="I8" s="72">
        <f>INDEX('2024 Data'!$H$17:$H$26,
       MATCH($B8,'2024 Data'!$F$17:$F$26,0))</f>
        <v>1</v>
      </c>
      <c r="J8" s="11">
        <f t="shared" si="2"/>
        <v>0.7580257934838831</v>
      </c>
      <c r="K8" s="73">
        <f>INDEX('2022 Data'!O$17:O$26,
       MATCH('Overall Ranks'!B8,'2022 Data'!N$17:N$26,0))</f>
        <v>0.29610495147138621</v>
      </c>
      <c r="L8" s="73">
        <f>INDEX('2023 Data'!O$17:O$26,
       MATCH('Overall Ranks'!B8,'2023 Data'!N$17:N$26,0))</f>
        <v>0.63759553386567169</v>
      </c>
      <c r="M8" s="73">
        <f>INDEX('2024 Data'!O$17:O$26,
       MATCH('Overall Ranks'!B8,'2024 Data'!N$17:N$26,0))</f>
        <v>1</v>
      </c>
      <c r="N8" s="11">
        <f t="shared" si="3"/>
        <v>0.64456682844568591</v>
      </c>
      <c r="O8" s="12">
        <f>INDEX('2022 Data'!S$17:S$26,
MATCH('Overall Ranks'!B8,'2022 Data'!R$17:R$26,0))</f>
        <v>0.96615380292192277</v>
      </c>
      <c r="P8" s="12">
        <f>INDEX('2023 Data'!S$17:S$26,
       MATCH('Overall Ranks'!B8,'2023 Data'!R$17:R$26,0))</f>
        <v>0.32105878571637908</v>
      </c>
      <c r="Q8" s="12">
        <f>INDEX('2024 Data'!S$17:S$26,
       MATCH('Overall Ranks'!B8,'2024 Data'!R$17:R$26,0))</f>
        <v>0.70781197434796017</v>
      </c>
      <c r="R8" s="11">
        <f t="shared" si="4"/>
        <v>0.66500818766208736</v>
      </c>
      <c r="S8" s="12">
        <f>INDEX('2022 Data'!E$32:E$41,
       MATCH('Overall Ranks'!B8,'2022 Data'!D$32:D$41,0))</f>
        <v>0.60484345232038772</v>
      </c>
      <c r="T8" s="12">
        <f>INDEX('2023 Data'!E$32:E$41,
       MATCH('Overall Ranks'!B8,'2023 Data'!D$32:D$41,0))</f>
        <v>0.43635502101282436</v>
      </c>
      <c r="U8" s="12">
        <f>INDEX('2024 Data'!E$32:E$41,
       MATCH('Overall Ranks'!B8,'2024 Data'!D$32:D$41,0))</f>
        <v>0.81331465329505104</v>
      </c>
      <c r="V8" s="10">
        <f t="shared" si="5"/>
        <v>0.61817104220942098</v>
      </c>
      <c r="W8" s="73">
        <f t="shared" si="6"/>
        <v>0.15418140740001837</v>
      </c>
      <c r="X8" s="73">
        <f t="shared" si="0"/>
        <v>0.48540873146693231</v>
      </c>
      <c r="Y8" s="12">
        <f>INDEX('2022 Data'!O$32:O$41,
       MATCH('Overall Ranks'!B8,'2022 Data'!N$32:N$41,0))</f>
        <v>0.63112937719665452</v>
      </c>
      <c r="Z8" s="12">
        <f>INDEX('2023 Data'!O$32:O$41,
       MATCH('Overall Ranks'!B8,'2023 Data'!N$32:N$41,0))</f>
        <v>0.47932715979102536</v>
      </c>
      <c r="AA8" s="12">
        <f>INDEX('2024 Data'!H$32:H$41,
       MATCH('Overall Ranks'!B8,'2024 Data'!G$32:G$41,0))</f>
        <v>0.85390598717398003</v>
      </c>
      <c r="AB8" s="10">
        <f t="shared" si="7"/>
        <v>0.65478750805388664</v>
      </c>
    </row>
    <row r="9" spans="1:28" x14ac:dyDescent="0.35">
      <c r="A9" s="1">
        <v>8</v>
      </c>
      <c r="B9" s="1" t="s">
        <v>37</v>
      </c>
      <c r="C9" s="8">
        <f>INDEX('2022 Data'!C$17:C$26,
       MATCH('Overall Ranks'!B9,'2022 Data'!B$17:B$26,0))</f>
        <v>0.42857142857142855</v>
      </c>
      <c r="D9" s="23">
        <f>INDEX('2023 Data'!$C$17:$C$26,
       MATCH($B9,'2023 Data'!$B$17:$B$26,0))</f>
        <v>0.2857142857142857</v>
      </c>
      <c r="E9" s="23">
        <f>INDEX('2024 Data'!$C$17:$C$26,
       MATCH($B9,'2024 Data'!$B$17:$B$26,0))</f>
        <v>0.5714285714285714</v>
      </c>
      <c r="F9" s="11">
        <f t="shared" si="1"/>
        <v>0.42857142857142855</v>
      </c>
      <c r="G9" s="11">
        <f>INDEX('2022 Data'!H$17:H$26,
       MATCH(B9,'2022 Data'!F$17:F$26,0))</f>
        <v>0.51878093454044438</v>
      </c>
      <c r="H9" s="72">
        <f>INDEX('2023 Data'!$H$17:$H$26,
       MATCH($B9,'2023 Data'!$F$17:$F$26,0))</f>
        <v>0.1349548420189895</v>
      </c>
      <c r="I9" s="72">
        <f>INDEX('2024 Data'!$H$17:$H$26,
       MATCH($B9,'2024 Data'!$F$17:$F$26,0))</f>
        <v>0.59117534057255783</v>
      </c>
      <c r="J9" s="11">
        <f t="shared" si="2"/>
        <v>0.41497037237733059</v>
      </c>
      <c r="K9" s="73">
        <f>INDEX('2022 Data'!O$17:O$26,
       MATCH('Overall Ranks'!B9,'2022 Data'!N$17:N$26,0))</f>
        <v>0.32263307639782801</v>
      </c>
      <c r="L9" s="73">
        <f>INDEX('2023 Data'!O$17:O$26,
       MATCH('Overall Ranks'!B9,'2023 Data'!N$17:N$26,0))</f>
        <v>0.39721154596602237</v>
      </c>
      <c r="M9" s="73">
        <f>INDEX('2024 Data'!O$17:O$26,
       MATCH('Overall Ranks'!B9,'2024 Data'!N$17:N$26,0))</f>
        <v>0.96531897900216168</v>
      </c>
      <c r="N9" s="11">
        <f t="shared" si="3"/>
        <v>0.56172120045533735</v>
      </c>
      <c r="O9" s="12">
        <f>INDEX('2022 Data'!S$17:S$26,
MATCH('Overall Ranks'!B9,'2022 Data'!R$17:R$26,0))</f>
        <v>0.4676076015171915</v>
      </c>
      <c r="P9" s="12">
        <f>INDEX('2023 Data'!S$17:S$26,
       MATCH('Overall Ranks'!B9,'2023 Data'!R$17:R$26,0))</f>
        <v>0.3560812743282401</v>
      </c>
      <c r="Q9" s="12">
        <f>INDEX('2024 Data'!S$17:S$26,
       MATCH('Overall Ranks'!B9,'2024 Data'!R$17:R$26,0))</f>
        <v>0</v>
      </c>
      <c r="R9" s="11">
        <f t="shared" si="4"/>
        <v>0.27456295861514385</v>
      </c>
      <c r="S9" s="12">
        <f>INDEX('2022 Data'!E$32:E$41,
       MATCH('Overall Ranks'!B9,'2022 Data'!D$32:D$41,0))</f>
        <v>0.43579156057082685</v>
      </c>
      <c r="T9" s="12">
        <f>INDEX('2023 Data'!E$32:E$41,
       MATCH('Overall Ranks'!B9,'2023 Data'!D$32:D$41,0))</f>
        <v>0.28087892513290214</v>
      </c>
      <c r="U9" s="12">
        <f>INDEX('2024 Data'!E$32:E$41,
       MATCH('Overall Ranks'!B9,'2024 Data'!D$32:D$41,0))</f>
        <v>0.56942905951500034</v>
      </c>
      <c r="V9" s="10">
        <f t="shared" si="5"/>
        <v>0.42869984840624314</v>
      </c>
      <c r="W9" s="73">
        <f t="shared" si="6"/>
        <v>0.11790678323447061</v>
      </c>
      <c r="X9" s="73">
        <f t="shared" si="0"/>
        <v>0.62089846618408528</v>
      </c>
      <c r="Y9" s="12">
        <f>INDEX('2022 Data'!O$32:O$41,
       MATCH('Overall Ranks'!B9,'2022 Data'!N$32:N$41,0))</f>
        <v>0.39512033895750975</v>
      </c>
      <c r="Z9" s="12">
        <f>INDEX('2023 Data'!O$32:O$41,
       MATCH('Overall Ranks'!B9,'2023 Data'!N$32:N$41,0))</f>
        <v>0.37664641014713124</v>
      </c>
      <c r="AA9" s="12">
        <f>INDEX('2024 Data'!H$32:H$41,
       MATCH('Overall Ranks'!B9,'2024 Data'!G$32:G$41,0))</f>
        <v>0.48265948950108084</v>
      </c>
      <c r="AB9" s="10">
        <f t="shared" si="7"/>
        <v>0.41814207953524063</v>
      </c>
    </row>
    <row r="10" spans="1:28" x14ac:dyDescent="0.35">
      <c r="A10" s="1">
        <v>9</v>
      </c>
      <c r="B10" s="1" t="s">
        <v>13</v>
      </c>
      <c r="C10" s="8">
        <f>INDEX('2022 Data'!C$17:C$26,
       MATCH('Overall Ranks'!B10,'2022 Data'!B$17:B$26,0))</f>
        <v>0.2857142857142857</v>
      </c>
      <c r="D10" s="23">
        <f>INDEX('2023 Data'!$C$17:$C$26,
       MATCH($B10,'2023 Data'!$B$17:$B$26,0))</f>
        <v>0.5714285714285714</v>
      </c>
      <c r="E10" s="23">
        <f>INDEX('2024 Data'!$C$17:$C$26,
       MATCH($B10,'2024 Data'!$B$17:$B$26,0))</f>
        <v>0.5</v>
      </c>
      <c r="F10" s="11">
        <f t="shared" si="1"/>
        <v>0.45238095238095238</v>
      </c>
      <c r="G10" s="11">
        <f>INDEX('2022 Data'!H$17:H$26,
       MATCH(B10,'2022 Data'!F$17:F$26,0))</f>
        <v>2.2486664464110694E-2</v>
      </c>
      <c r="H10" s="72">
        <f>INDEX('2023 Data'!$H$17:$H$26,
       MATCH($B10,'2023 Data'!$F$17:$F$26,0))</f>
        <v>0.90133796726744886</v>
      </c>
      <c r="I10" s="72">
        <f>INDEX('2024 Data'!$H$17:$H$26,
       MATCH($B10,'2024 Data'!$F$17:$F$26,0))</f>
        <v>0.58632078284267786</v>
      </c>
      <c r="J10" s="11">
        <f t="shared" si="2"/>
        <v>0.50338180485807915</v>
      </c>
      <c r="K10" s="73">
        <f>INDEX('2022 Data'!O$17:O$26,
       MATCH('Overall Ranks'!B10,'2022 Data'!N$17:N$26,0))</f>
        <v>7.9538202889499948E-2</v>
      </c>
      <c r="L10" s="73">
        <f>INDEX('2023 Data'!O$17:O$26,
       MATCH('Overall Ranks'!B10,'2023 Data'!N$17:N$26,0))</f>
        <v>0.83750009888251387</v>
      </c>
      <c r="M10" s="73">
        <f>INDEX('2024 Data'!O$17:O$26,
       MATCH('Overall Ranks'!B10,'2024 Data'!N$17:N$26,0))</f>
        <v>0.30874349956488334</v>
      </c>
      <c r="N10" s="11">
        <f t="shared" si="3"/>
        <v>0.40859393377896575</v>
      </c>
      <c r="O10" s="12">
        <f>INDEX('2022 Data'!S$17:S$26,
MATCH('Overall Ranks'!B10,'2022 Data'!R$17:R$26,0))</f>
        <v>0</v>
      </c>
      <c r="P10" s="12">
        <f>INDEX('2023 Data'!S$17:S$26,
       MATCH('Overall Ranks'!B10,'2023 Data'!R$17:R$26,0))</f>
        <v>0.74033124485229451</v>
      </c>
      <c r="Q10" s="12">
        <f>INDEX('2024 Data'!S$17:S$26,
       MATCH('Overall Ranks'!B10,'2024 Data'!R$17:R$26,0))</f>
        <v>1</v>
      </c>
      <c r="R10" s="11">
        <f t="shared" si="4"/>
        <v>0.58011041495076487</v>
      </c>
      <c r="S10" s="12">
        <f>INDEX('2022 Data'!E$32:E$41,
       MATCH('Overall Ranks'!B10,'2022 Data'!D$32:D$41,0))</f>
        <v>0.13581502097964193</v>
      </c>
      <c r="T10" s="12">
        <f>INDEX('2023 Data'!E$32:E$41,
       MATCH('Overall Ranks'!B10,'2023 Data'!D$32:D$41,0))</f>
        <v>0.73245562689263777</v>
      </c>
      <c r="U10" s="12">
        <f>INDEX('2024 Data'!E$32:E$41,
       MATCH('Overall Ranks'!B10,'2024 Data'!D$32:D$41,0))</f>
        <v>0.55832889562364607</v>
      </c>
      <c r="V10" s="10">
        <f t="shared" si="5"/>
        <v>0.47553318116530857</v>
      </c>
      <c r="W10" s="73">
        <f t="shared" si="6"/>
        <v>0.25051460490432714</v>
      </c>
      <c r="X10" s="73">
        <f t="shared" si="0"/>
        <v>0.12559358039197432</v>
      </c>
      <c r="Y10" s="12">
        <f>INDEX('2022 Data'!O$32:O$41,
       MATCH('Overall Ranks'!B10,'2022 Data'!N$32:N$41,0))</f>
        <v>3.9769101444749974E-2</v>
      </c>
      <c r="Z10" s="12">
        <f>INDEX('2023 Data'!O$32:O$41,
       MATCH('Overall Ranks'!B10,'2023 Data'!N$32:N$41,0))</f>
        <v>0.78891567186740419</v>
      </c>
      <c r="AA10" s="12">
        <f>INDEX('2024 Data'!H$32:H$41,
       MATCH('Overall Ranks'!B10,'2024 Data'!G$32:G$41,0))</f>
        <v>0.65437174978244173</v>
      </c>
      <c r="AB10" s="10">
        <f t="shared" si="7"/>
        <v>0.49435217436486534</v>
      </c>
    </row>
    <row r="11" spans="1:28" x14ac:dyDescent="0.35">
      <c r="A11" s="1">
        <v>10</v>
      </c>
      <c r="B11" s="1" t="s">
        <v>19</v>
      </c>
      <c r="C11" s="8">
        <f>INDEX('2022 Data'!C$17:C$26,
       MATCH('Overall Ranks'!B11,'2022 Data'!B$17:B$26,0))</f>
        <v>0.2857142857142857</v>
      </c>
      <c r="D11" s="23">
        <f>INDEX('2023 Data'!$C$17:$C$26,
       MATCH($B11,'2023 Data'!$B$17:$B$26,0))</f>
        <v>0.5714285714285714</v>
      </c>
      <c r="E11" s="23">
        <f>INDEX('2024 Data'!$C$17:$C$26,
       MATCH($B11,'2024 Data'!$B$17:$B$26,0))</f>
        <v>0.2857142857142857</v>
      </c>
      <c r="F11" s="11">
        <f t="shared" si="1"/>
        <v>0.38095238095238093</v>
      </c>
      <c r="G11" s="11">
        <f>INDEX('2022 Data'!H$17:H$26,
       MATCH(B11,'2022 Data'!F$17:F$26,0))</f>
        <v>0</v>
      </c>
      <c r="H11" s="72">
        <f>INDEX('2023 Data'!$H$17:$H$26,
       MATCH($B11,'2023 Data'!$F$17:$F$26,0))</f>
        <v>0.47655050641300151</v>
      </c>
      <c r="I11" s="72">
        <f>INDEX('2024 Data'!$H$17:$H$26,
       MATCH($B11,'2024 Data'!$F$17:$F$26,0))</f>
        <v>0.3020238903617749</v>
      </c>
      <c r="J11" s="11">
        <f t="shared" si="2"/>
        <v>0.25952479892492547</v>
      </c>
      <c r="K11" s="73">
        <f>INDEX('2022 Data'!O$17:O$26,
       MATCH('Overall Ranks'!B11,'2022 Data'!N$17:N$26,0))</f>
        <v>0</v>
      </c>
      <c r="L11" s="73">
        <f>INDEX('2023 Data'!O$17:O$26,
       MATCH('Overall Ranks'!B11,'2023 Data'!N$17:N$26,0))</f>
        <v>1</v>
      </c>
      <c r="M11" s="73">
        <f>INDEX('2024 Data'!O$17:O$26,
       MATCH('Overall Ranks'!B11,'2024 Data'!N$17:N$26,0))</f>
        <v>0.4869693947285394</v>
      </c>
      <c r="N11" s="11">
        <f t="shared" si="3"/>
        <v>0.49565646490951315</v>
      </c>
      <c r="O11" s="12">
        <f>INDEX('2022 Data'!S$17:S$26,
MATCH('Overall Ranks'!B11,'2022 Data'!R$17:R$26,0))</f>
        <v>1.6925668633165334E-2</v>
      </c>
      <c r="P11" s="12">
        <f>INDEX('2023 Data'!S$17:S$26,
       MATCH('Overall Ranks'!B11,'2023 Data'!R$17:R$26,0))</f>
        <v>0</v>
      </c>
      <c r="Q11" s="12">
        <f>INDEX('2024 Data'!S$17:S$26,
       MATCH('Overall Ranks'!B11,'2024 Data'!R$17:R$26,0))</f>
        <v>0.19682242621246079</v>
      </c>
      <c r="R11" s="11">
        <f t="shared" si="4"/>
        <v>7.1249364948542046E-2</v>
      </c>
      <c r="S11" s="12">
        <f>INDEX('2022 Data'!E$32:E$41,
       MATCH('Overall Ranks'!B11,'2022 Data'!D$32:D$41,0))</f>
        <v>0.11682456458068909</v>
      </c>
      <c r="T11" s="12">
        <f>INDEX('2023 Data'!E$32:E$41,
       MATCH('Overall Ranks'!B11,'2023 Data'!D$32:D$41,0))</f>
        <v>0.54770905517467894</v>
      </c>
      <c r="U11" s="12">
        <f>INDEX('2024 Data'!E$32:E$41,
       MATCH('Overall Ranks'!B11,'2024 Data'!D$32:D$41,0))</f>
        <v>0.31670892975373499</v>
      </c>
      <c r="V11" s="10">
        <f t="shared" si="5"/>
        <v>0.3270808498363677</v>
      </c>
      <c r="W11" s="73">
        <f t="shared" si="6"/>
        <v>0.17606067818276161</v>
      </c>
      <c r="X11" s="73">
        <f t="shared" si="0"/>
        <v>0.40368723435010978</v>
      </c>
      <c r="Y11" s="12">
        <f>INDEX('2022 Data'!O$32:O$41,
       MATCH('Overall Ranks'!B11,'2022 Data'!N$32:N$41,0))</f>
        <v>8.462834316582667E-3</v>
      </c>
      <c r="Z11" s="12">
        <f>INDEX('2023 Data'!O$32:O$41,
       MATCH('Overall Ranks'!B11,'2023 Data'!N$32:N$41,0))</f>
        <v>0.5</v>
      </c>
      <c r="AA11" s="12">
        <f>INDEX('2024 Data'!H$32:H$41,
       MATCH('Overall Ranks'!B11,'2024 Data'!G$32:G$41,0))</f>
        <v>0.34189591047050011</v>
      </c>
      <c r="AB11" s="10">
        <f t="shared" si="7"/>
        <v>0.28345291492902763</v>
      </c>
    </row>
    <row r="12" spans="1:28" x14ac:dyDescent="0.35">
      <c r="A12" s="54"/>
      <c r="C12" s="4"/>
      <c r="D12" s="50"/>
      <c r="E12" s="50"/>
      <c r="F12" s="4"/>
    </row>
    <row r="13" spans="1:28" ht="15.5" x14ac:dyDescent="0.35">
      <c r="A13" s="108" t="s">
        <v>89</v>
      </c>
      <c r="B13" s="108"/>
      <c r="C13" s="108"/>
      <c r="F13" s="4"/>
      <c r="N13" s="101" t="s">
        <v>132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</row>
    <row r="14" spans="1:28" x14ac:dyDescent="0.35">
      <c r="A14" s="37">
        <v>1</v>
      </c>
      <c r="B14" s="1" t="s">
        <v>10</v>
      </c>
      <c r="C14" s="55">
        <f t="shared" ref="C14:C23" si="8">INDEX(F$2:F$11, MATCH(B14,B$2:B$11,0))</f>
        <v>0.59523809523809523</v>
      </c>
    </row>
    <row r="15" spans="1:28" s="19" customFormat="1" ht="30.5" customHeight="1" x14ac:dyDescent="0.35">
      <c r="A15" s="83">
        <v>2</v>
      </c>
      <c r="B15" s="83" t="s">
        <v>16</v>
      </c>
      <c r="C15" s="84">
        <f t="shared" si="8"/>
        <v>0.57142857142857151</v>
      </c>
      <c r="N15" s="85" t="s">
        <v>134</v>
      </c>
      <c r="O15" s="85"/>
      <c r="P15" s="85"/>
      <c r="Q15" s="85"/>
      <c r="R15" s="85" t="s">
        <v>133</v>
      </c>
      <c r="S15" s="85" t="s">
        <v>135</v>
      </c>
      <c r="T15" s="85" t="s">
        <v>136</v>
      </c>
      <c r="U15" s="85" t="s">
        <v>137</v>
      </c>
      <c r="V15" s="85" t="s">
        <v>138</v>
      </c>
      <c r="W15" s="85" t="s">
        <v>94</v>
      </c>
      <c r="X15" s="85" t="s">
        <v>140</v>
      </c>
      <c r="Y15" s="85" t="s">
        <v>139</v>
      </c>
    </row>
    <row r="16" spans="1:28" x14ac:dyDescent="0.35">
      <c r="A16" s="37">
        <v>3</v>
      </c>
      <c r="B16" s="1" t="s">
        <v>22</v>
      </c>
      <c r="C16" s="55">
        <f t="shared" si="8"/>
        <v>0.5714285714285714</v>
      </c>
      <c r="N16" s="1">
        <v>1</v>
      </c>
      <c r="O16" s="1"/>
      <c r="P16" s="1"/>
      <c r="Q16" s="1"/>
      <c r="R16" s="1" t="str">
        <f>B2</f>
        <v>GT</v>
      </c>
      <c r="S16" s="37">
        <f>INDEX(A$14:A$23,MATCH(R16,B$14:B$23,0))</f>
        <v>1</v>
      </c>
      <c r="T16" s="37">
        <f>INDEX(A$29:A$38,MATCH(R16,B$29:B$38,0))</f>
        <v>3</v>
      </c>
      <c r="U16" s="37">
        <f>INDEX(A$43:A$52,MATCH(R16,B$43:B$52,0))</f>
        <v>10</v>
      </c>
      <c r="V16" s="37">
        <f>INDEX(A$57:A$66,MATCH(R16,B$57:B$66,0))</f>
        <v>1</v>
      </c>
      <c r="W16" s="37">
        <f>INDEX(A$71:A$80,MATCH(R16,B$71:B$80,0))</f>
        <v>3</v>
      </c>
      <c r="X16" s="86">
        <f>INDEX(A$84:A$93,MATCH(R16,B$84:B$93,0))</f>
        <v>3</v>
      </c>
      <c r="Y16" s="37">
        <f>INDEX(A$97:A$106,MATCH(R16,B$97:B$106,0))</f>
        <v>10</v>
      </c>
    </row>
    <row r="17" spans="1:25" x14ac:dyDescent="0.35">
      <c r="A17" s="37">
        <v>4</v>
      </c>
      <c r="B17" s="1" t="s">
        <v>25</v>
      </c>
      <c r="C17" s="55">
        <f t="shared" si="8"/>
        <v>0.52380952380952384</v>
      </c>
      <c r="N17" s="1">
        <v>2</v>
      </c>
      <c r="O17" s="1"/>
      <c r="P17" s="1"/>
      <c r="Q17" s="1"/>
      <c r="R17" s="1" t="str">
        <f t="shared" ref="R17:R25" si="9">B3</f>
        <v>RR</v>
      </c>
      <c r="S17" s="37">
        <f t="shared" ref="S17:S25" si="10">INDEX(A$14:A$23,MATCH(R17,B$14:B$23,0))</f>
        <v>3</v>
      </c>
      <c r="T17" s="37">
        <f t="shared" ref="T17:T25" si="11">INDEX(A$29:A$38,MATCH(R17,B$29:B$38,0))</f>
        <v>2</v>
      </c>
      <c r="U17" s="37">
        <f t="shared" ref="U17:U25" si="12">INDEX(A$43:A$52,MATCH(R17,B$43:B$52,0))</f>
        <v>2</v>
      </c>
      <c r="V17" s="37">
        <f t="shared" ref="V17:V25" si="13">INDEX(A$57:A$66,MATCH(R17,B$57:B$66,0))</f>
        <v>2</v>
      </c>
      <c r="W17" s="37">
        <f t="shared" ref="W17:W25" si="14">INDEX(A$71:A$80,MATCH(R17,B$71:B$80,0))</f>
        <v>1</v>
      </c>
      <c r="X17" s="86">
        <f t="shared" ref="X17:X25" si="15">INDEX(A$84:A$93,MATCH(R17,B$84:B$93,0))</f>
        <v>1</v>
      </c>
      <c r="Y17" s="37">
        <f t="shared" ref="Y17:Y25" si="16">INDEX(A$97:A$106,MATCH(R17,B$97:B$106,0))</f>
        <v>2</v>
      </c>
    </row>
    <row r="18" spans="1:25" x14ac:dyDescent="0.35">
      <c r="A18" s="37">
        <v>5</v>
      </c>
      <c r="B18" s="1" t="s">
        <v>28</v>
      </c>
      <c r="C18" s="55">
        <f t="shared" si="8"/>
        <v>0.5</v>
      </c>
      <c r="N18" s="1">
        <v>3</v>
      </c>
      <c r="O18" s="1"/>
      <c r="P18" s="1"/>
      <c r="Q18" s="1"/>
      <c r="R18" s="1" t="str">
        <f t="shared" si="9"/>
        <v>LSG</v>
      </c>
      <c r="S18" s="37">
        <f t="shared" si="10"/>
        <v>2</v>
      </c>
      <c r="T18" s="37">
        <f t="shared" si="11"/>
        <v>5</v>
      </c>
      <c r="U18" s="37">
        <f t="shared" si="12"/>
        <v>9</v>
      </c>
      <c r="V18" s="37">
        <f t="shared" si="13"/>
        <v>3</v>
      </c>
      <c r="W18" s="37">
        <f t="shared" si="14"/>
        <v>4</v>
      </c>
      <c r="X18" s="86">
        <f t="shared" si="15"/>
        <v>4</v>
      </c>
      <c r="Y18" s="37">
        <f t="shared" si="16"/>
        <v>6</v>
      </c>
    </row>
    <row r="19" spans="1:25" x14ac:dyDescent="0.35">
      <c r="A19" s="37">
        <v>6</v>
      </c>
      <c r="B19" s="1" t="s">
        <v>34</v>
      </c>
      <c r="C19" s="55">
        <f t="shared" si="8"/>
        <v>0.45238095238095238</v>
      </c>
      <c r="N19" s="1">
        <v>4</v>
      </c>
      <c r="O19" s="1"/>
      <c r="P19" s="1"/>
      <c r="Q19" s="1"/>
      <c r="R19" s="1" t="str">
        <f t="shared" si="9"/>
        <v>RCB</v>
      </c>
      <c r="S19" s="37">
        <f t="shared" si="10"/>
        <v>4</v>
      </c>
      <c r="T19" s="37">
        <f t="shared" si="11"/>
        <v>4</v>
      </c>
      <c r="U19" s="37">
        <f t="shared" si="12"/>
        <v>4</v>
      </c>
      <c r="V19" s="37">
        <f t="shared" si="13"/>
        <v>6</v>
      </c>
      <c r="W19" s="37">
        <f t="shared" si="14"/>
        <v>5</v>
      </c>
      <c r="X19" s="86">
        <f t="shared" si="15"/>
        <v>5</v>
      </c>
      <c r="Y19" s="37">
        <f t="shared" si="16"/>
        <v>1</v>
      </c>
    </row>
    <row r="20" spans="1:25" x14ac:dyDescent="0.35">
      <c r="A20" s="37">
        <v>7</v>
      </c>
      <c r="B20" s="1" t="s">
        <v>13</v>
      </c>
      <c r="C20" s="55">
        <f t="shared" si="8"/>
        <v>0.45238095238095238</v>
      </c>
      <c r="N20" s="1">
        <v>5</v>
      </c>
      <c r="O20" s="1"/>
      <c r="P20" s="1"/>
      <c r="Q20" s="1"/>
      <c r="R20" s="1" t="str">
        <f t="shared" si="9"/>
        <v>DC</v>
      </c>
      <c r="S20" s="37">
        <f t="shared" si="10"/>
        <v>6</v>
      </c>
      <c r="T20" s="37">
        <f t="shared" si="11"/>
        <v>9</v>
      </c>
      <c r="U20" s="37">
        <f t="shared" si="12"/>
        <v>6</v>
      </c>
      <c r="V20" s="37">
        <f t="shared" si="13"/>
        <v>7</v>
      </c>
      <c r="W20" s="37">
        <f t="shared" si="14"/>
        <v>8</v>
      </c>
      <c r="X20" s="86">
        <f t="shared" si="15"/>
        <v>8</v>
      </c>
      <c r="Y20" s="37">
        <f t="shared" si="16"/>
        <v>8</v>
      </c>
    </row>
    <row r="21" spans="1:25" x14ac:dyDescent="0.35">
      <c r="A21" s="37">
        <v>8</v>
      </c>
      <c r="B21" s="1" t="s">
        <v>31</v>
      </c>
      <c r="C21" s="55">
        <f t="shared" si="8"/>
        <v>0.4285714285714286</v>
      </c>
      <c r="N21" s="1">
        <v>6</v>
      </c>
      <c r="O21" s="1"/>
      <c r="P21" s="1"/>
      <c r="Q21" s="1"/>
      <c r="R21" s="1" t="str">
        <f t="shared" si="9"/>
        <v>PBKS</v>
      </c>
      <c r="S21" s="37">
        <f t="shared" si="10"/>
        <v>8</v>
      </c>
      <c r="T21" s="37">
        <f t="shared" si="11"/>
        <v>7</v>
      </c>
      <c r="U21" s="37">
        <f t="shared" si="12"/>
        <v>3</v>
      </c>
      <c r="V21" s="37">
        <f t="shared" si="13"/>
        <v>8</v>
      </c>
      <c r="W21" s="37">
        <f t="shared" si="14"/>
        <v>6</v>
      </c>
      <c r="X21" s="86">
        <f t="shared" si="15"/>
        <v>6</v>
      </c>
      <c r="Y21" s="37">
        <f t="shared" si="16"/>
        <v>4</v>
      </c>
    </row>
    <row r="22" spans="1:25" x14ac:dyDescent="0.35">
      <c r="A22" s="37">
        <v>9</v>
      </c>
      <c r="B22" s="1" t="s">
        <v>37</v>
      </c>
      <c r="C22" s="55">
        <f t="shared" si="8"/>
        <v>0.42857142857142855</v>
      </c>
      <c r="N22" s="1">
        <v>7</v>
      </c>
      <c r="O22" s="1"/>
      <c r="P22" s="1"/>
      <c r="Q22" s="1"/>
      <c r="R22" s="1" t="str">
        <f t="shared" si="9"/>
        <v>KKR</v>
      </c>
      <c r="S22" s="37">
        <f t="shared" si="10"/>
        <v>5</v>
      </c>
      <c r="T22" s="37">
        <f t="shared" si="11"/>
        <v>1</v>
      </c>
      <c r="U22" s="37">
        <f t="shared" si="12"/>
        <v>1</v>
      </c>
      <c r="V22" s="37">
        <f t="shared" si="13"/>
        <v>4</v>
      </c>
      <c r="W22" s="37">
        <f t="shared" si="14"/>
        <v>2</v>
      </c>
      <c r="X22" s="86">
        <f t="shared" si="15"/>
        <v>2</v>
      </c>
      <c r="Y22" s="37">
        <f t="shared" si="16"/>
        <v>5</v>
      </c>
    </row>
    <row r="23" spans="1:25" x14ac:dyDescent="0.35">
      <c r="A23" s="37">
        <v>10</v>
      </c>
      <c r="B23" s="1" t="s">
        <v>19</v>
      </c>
      <c r="C23" s="55">
        <f t="shared" si="8"/>
        <v>0.38095238095238093</v>
      </c>
      <c r="N23" s="1">
        <v>8</v>
      </c>
      <c r="O23" s="1"/>
      <c r="P23" s="1"/>
      <c r="Q23" s="1"/>
      <c r="R23" s="1" t="str">
        <f t="shared" si="9"/>
        <v>SRH</v>
      </c>
      <c r="S23" s="37">
        <f t="shared" si="10"/>
        <v>9</v>
      </c>
      <c r="T23" s="37">
        <f t="shared" si="11"/>
        <v>8</v>
      </c>
      <c r="U23" s="37">
        <f t="shared" si="12"/>
        <v>5</v>
      </c>
      <c r="V23" s="37">
        <f t="shared" si="13"/>
        <v>9</v>
      </c>
      <c r="W23" s="37">
        <f t="shared" si="14"/>
        <v>9</v>
      </c>
      <c r="X23" s="86">
        <f t="shared" si="15"/>
        <v>9</v>
      </c>
      <c r="Y23" s="37">
        <f t="shared" si="16"/>
        <v>3</v>
      </c>
    </row>
    <row r="24" spans="1:25" x14ac:dyDescent="0.35">
      <c r="B24" s="53"/>
      <c r="C24" s="52"/>
      <c r="N24" s="1">
        <v>9</v>
      </c>
      <c r="O24" s="1"/>
      <c r="P24" s="1"/>
      <c r="Q24" s="1"/>
      <c r="R24" s="1" t="str">
        <f t="shared" si="9"/>
        <v>CSK</v>
      </c>
      <c r="S24" s="37">
        <f t="shared" si="10"/>
        <v>7</v>
      </c>
      <c r="T24" s="37">
        <f t="shared" si="11"/>
        <v>6</v>
      </c>
      <c r="U24" s="37">
        <f t="shared" si="12"/>
        <v>8</v>
      </c>
      <c r="V24" s="37">
        <f t="shared" si="13"/>
        <v>5</v>
      </c>
      <c r="W24" s="37">
        <f t="shared" si="14"/>
        <v>7</v>
      </c>
      <c r="X24" s="86">
        <f t="shared" si="15"/>
        <v>7</v>
      </c>
      <c r="Y24" s="37">
        <f t="shared" si="16"/>
        <v>9</v>
      </c>
    </row>
    <row r="25" spans="1:25" x14ac:dyDescent="0.35">
      <c r="A25" s="37"/>
      <c r="B25" s="37"/>
      <c r="C25" s="38"/>
      <c r="N25" s="1">
        <v>10</v>
      </c>
      <c r="O25" s="1"/>
      <c r="P25" s="1"/>
      <c r="Q25" s="1"/>
      <c r="R25" s="1" t="str">
        <f t="shared" si="9"/>
        <v>MI</v>
      </c>
      <c r="S25" s="37">
        <f t="shared" si="10"/>
        <v>10</v>
      </c>
      <c r="T25" s="37">
        <f t="shared" si="11"/>
        <v>10</v>
      </c>
      <c r="U25" s="37">
        <f t="shared" si="12"/>
        <v>7</v>
      </c>
      <c r="V25" s="37">
        <f t="shared" si="13"/>
        <v>10</v>
      </c>
      <c r="W25" s="37">
        <f t="shared" si="14"/>
        <v>10</v>
      </c>
      <c r="X25" s="86">
        <f t="shared" si="15"/>
        <v>10</v>
      </c>
      <c r="Y25" s="37">
        <f t="shared" si="16"/>
        <v>7</v>
      </c>
    </row>
    <row r="26" spans="1:25" ht="15" thickBot="1" x14ac:dyDescent="0.4"/>
    <row r="27" spans="1:25" x14ac:dyDescent="0.35">
      <c r="A27" s="109" t="s">
        <v>90</v>
      </c>
      <c r="B27" s="110"/>
      <c r="C27" s="110"/>
      <c r="D27" s="111"/>
    </row>
    <row r="28" spans="1:25" ht="15" thickBot="1" x14ac:dyDescent="0.4">
      <c r="A28" s="112"/>
      <c r="B28" s="113"/>
      <c r="C28" s="113"/>
      <c r="D28" s="114"/>
    </row>
    <row r="29" spans="1:25" x14ac:dyDescent="0.35">
      <c r="A29" s="62">
        <v>1</v>
      </c>
      <c r="B29" s="63" t="str">
        <f>INDEX(B$2:B$11, MATCH(LARGE(J$2:J$11, ROW(A1)),J$2:J$11,0))</f>
        <v>KKR</v>
      </c>
      <c r="C29" s="55">
        <f>INDEX(J$2:J$11, MATCH(B29,B$2:B$11,0))</f>
        <v>0.7580257934838831</v>
      </c>
      <c r="D29" s="64"/>
    </row>
    <row r="30" spans="1:25" x14ac:dyDescent="0.35">
      <c r="A30" s="65">
        <v>2</v>
      </c>
      <c r="B30" s="63" t="str">
        <f t="shared" ref="B30:B38" si="17">INDEX(B$2:B$11, MATCH(LARGE(J$2:J$11, ROW(A2)),J$2:J$11,0))</f>
        <v>RR</v>
      </c>
      <c r="C30" s="55">
        <f t="shared" ref="C30:C38" si="18">INDEX(J$2:J$11, MATCH(B30,B$2:B$11,0))</f>
        <v>0.70601741226026482</v>
      </c>
      <c r="D30" s="64"/>
    </row>
    <row r="31" spans="1:25" x14ac:dyDescent="0.35">
      <c r="A31" s="65">
        <v>3</v>
      </c>
      <c r="B31" s="63" t="str">
        <f t="shared" si="17"/>
        <v>GT</v>
      </c>
      <c r="C31" s="55">
        <f t="shared" si="18"/>
        <v>0.66666666666666663</v>
      </c>
      <c r="D31" s="64"/>
    </row>
    <row r="32" spans="1:25" x14ac:dyDescent="0.35">
      <c r="A32" s="65">
        <v>4</v>
      </c>
      <c r="B32" s="63" t="str">
        <f t="shared" si="17"/>
        <v>RCB</v>
      </c>
      <c r="C32" s="55">
        <f t="shared" si="18"/>
        <v>0.61255757171331504</v>
      </c>
      <c r="D32" s="64"/>
    </row>
    <row r="33" spans="1:4" x14ac:dyDescent="0.35">
      <c r="A33" s="65">
        <v>5</v>
      </c>
      <c r="B33" s="63" t="str">
        <f t="shared" si="17"/>
        <v>LSG</v>
      </c>
      <c r="C33" s="55">
        <f t="shared" si="18"/>
        <v>0.59869058801022534</v>
      </c>
      <c r="D33" s="64"/>
    </row>
    <row r="34" spans="1:4" x14ac:dyDescent="0.35">
      <c r="A34" s="65">
        <v>6</v>
      </c>
      <c r="B34" s="63" t="str">
        <f t="shared" si="17"/>
        <v>CSK</v>
      </c>
      <c r="C34" s="55">
        <f t="shared" si="18"/>
        <v>0.50338180485807915</v>
      </c>
      <c r="D34" s="64"/>
    </row>
    <row r="35" spans="1:4" x14ac:dyDescent="0.35">
      <c r="A35" s="65">
        <v>7</v>
      </c>
      <c r="B35" s="63" t="str">
        <f t="shared" si="17"/>
        <v>PBKS</v>
      </c>
      <c r="C35" s="55">
        <f t="shared" si="18"/>
        <v>0.492867410644029</v>
      </c>
      <c r="D35" s="64"/>
    </row>
    <row r="36" spans="1:4" x14ac:dyDescent="0.35">
      <c r="A36" s="65">
        <v>8</v>
      </c>
      <c r="B36" s="63" t="str">
        <f t="shared" si="17"/>
        <v>SRH</v>
      </c>
      <c r="C36" s="55">
        <f t="shared" si="18"/>
        <v>0.41497037237733059</v>
      </c>
      <c r="D36" s="64"/>
    </row>
    <row r="37" spans="1:4" x14ac:dyDescent="0.35">
      <c r="A37" s="65">
        <v>9</v>
      </c>
      <c r="B37" s="63" t="str">
        <f t="shared" si="17"/>
        <v>DC</v>
      </c>
      <c r="C37" s="55">
        <f t="shared" si="18"/>
        <v>0.39932197066892128</v>
      </c>
      <c r="D37" s="64"/>
    </row>
    <row r="38" spans="1:4" ht="15" thickBot="1" x14ac:dyDescent="0.4">
      <c r="A38" s="66">
        <v>10</v>
      </c>
      <c r="B38" s="63" t="str">
        <f t="shared" si="17"/>
        <v>MI</v>
      </c>
      <c r="C38" s="55">
        <f t="shared" si="18"/>
        <v>0.25952479892492547</v>
      </c>
      <c r="D38" s="67"/>
    </row>
    <row r="41" spans="1:4" x14ac:dyDescent="0.35">
      <c r="A41" s="108" t="s">
        <v>83</v>
      </c>
      <c r="B41" s="108"/>
      <c r="C41" s="108"/>
      <c r="D41" s="108"/>
    </row>
    <row r="42" spans="1:4" x14ac:dyDescent="0.35">
      <c r="A42" s="108"/>
      <c r="B42" s="108"/>
      <c r="C42" s="108"/>
      <c r="D42" s="108"/>
    </row>
    <row r="43" spans="1:4" x14ac:dyDescent="0.35">
      <c r="A43" s="45">
        <v>1</v>
      </c>
      <c r="B43" s="68" t="str">
        <f>INDEX(B$2:B$11, MATCH(LARGE(N$2:N$11, ROW(A1)),N$2:N$11,0))</f>
        <v>KKR</v>
      </c>
      <c r="C43" s="55">
        <f>INDEX(N$2:N$11, MATCH(B43,B$2:B$11,0))</f>
        <v>0.64456682844568591</v>
      </c>
      <c r="D43" s="69"/>
    </row>
    <row r="44" spans="1:4" x14ac:dyDescent="0.35">
      <c r="A44" s="45">
        <v>2</v>
      </c>
      <c r="B44" s="68" t="str">
        <f t="shared" ref="B44:B52" si="19">INDEX(B$2:B$11, MATCH(LARGE(N$2:N$11, ROW(A2)),N$2:N$11,0))</f>
        <v>RR</v>
      </c>
      <c r="C44" s="55">
        <f t="shared" ref="C44:C52" si="20">INDEX(N$2:N$11, MATCH(B44,B$2:B$11,0))</f>
        <v>0.64087322085536425</v>
      </c>
      <c r="D44" s="69"/>
    </row>
    <row r="45" spans="1:4" x14ac:dyDescent="0.35">
      <c r="A45" s="45">
        <v>3</v>
      </c>
      <c r="B45" s="68" t="str">
        <f t="shared" si="19"/>
        <v>PBKS</v>
      </c>
      <c r="C45" s="55">
        <f t="shared" si="20"/>
        <v>0.58982696946513558</v>
      </c>
      <c r="D45" s="69"/>
    </row>
    <row r="46" spans="1:4" x14ac:dyDescent="0.35">
      <c r="A46" s="45">
        <v>4</v>
      </c>
      <c r="B46" s="68" t="str">
        <f t="shared" si="19"/>
        <v>RCB</v>
      </c>
      <c r="C46" s="55">
        <f t="shared" si="20"/>
        <v>0.56404187626031665</v>
      </c>
      <c r="D46" s="69"/>
    </row>
    <row r="47" spans="1:4" x14ac:dyDescent="0.35">
      <c r="A47" s="45">
        <v>5</v>
      </c>
      <c r="B47" s="68" t="str">
        <f t="shared" si="19"/>
        <v>SRH</v>
      </c>
      <c r="C47" s="55">
        <f t="shared" si="20"/>
        <v>0.56172120045533735</v>
      </c>
      <c r="D47" s="69"/>
    </row>
    <row r="48" spans="1:4" x14ac:dyDescent="0.35">
      <c r="A48" s="45">
        <v>6</v>
      </c>
      <c r="B48" s="68" t="str">
        <f t="shared" si="19"/>
        <v>DC</v>
      </c>
      <c r="C48" s="55">
        <f t="shared" si="20"/>
        <v>0.49593751343504583</v>
      </c>
      <c r="D48" s="69"/>
    </row>
    <row r="49" spans="1:4" x14ac:dyDescent="0.35">
      <c r="A49" s="45">
        <v>7</v>
      </c>
      <c r="B49" s="68" t="str">
        <f t="shared" si="19"/>
        <v>MI</v>
      </c>
      <c r="C49" s="55">
        <f t="shared" si="20"/>
        <v>0.49565646490951315</v>
      </c>
      <c r="D49" s="69"/>
    </row>
    <row r="50" spans="1:4" x14ac:dyDescent="0.35">
      <c r="A50" s="45">
        <v>8</v>
      </c>
      <c r="B50" s="68" t="str">
        <f t="shared" si="19"/>
        <v>CSK</v>
      </c>
      <c r="C50" s="55">
        <f t="shared" si="20"/>
        <v>0.40859393377896575</v>
      </c>
      <c r="D50" s="69"/>
    </row>
    <row r="51" spans="1:4" x14ac:dyDescent="0.35">
      <c r="A51" s="45">
        <v>9</v>
      </c>
      <c r="B51" s="68" t="str">
        <f t="shared" si="19"/>
        <v>LSG</v>
      </c>
      <c r="C51" s="55">
        <f t="shared" si="20"/>
        <v>0.39645418012790162</v>
      </c>
      <c r="D51" s="69"/>
    </row>
    <row r="52" spans="1:4" x14ac:dyDescent="0.35">
      <c r="A52" s="45">
        <v>10</v>
      </c>
      <c r="B52" s="68" t="str">
        <f t="shared" si="19"/>
        <v>GT</v>
      </c>
      <c r="C52" s="55">
        <f t="shared" si="20"/>
        <v>0.38282081482848307</v>
      </c>
      <c r="D52" s="69"/>
    </row>
    <row r="55" spans="1:4" x14ac:dyDescent="0.35">
      <c r="A55" s="108" t="s">
        <v>84</v>
      </c>
      <c r="B55" s="108"/>
      <c r="C55" s="108"/>
      <c r="D55" s="108"/>
    </row>
    <row r="56" spans="1:4" x14ac:dyDescent="0.35">
      <c r="A56" s="108"/>
      <c r="B56" s="108"/>
      <c r="C56" s="108"/>
      <c r="D56" s="108"/>
    </row>
    <row r="57" spans="1:4" x14ac:dyDescent="0.35">
      <c r="A57" s="45">
        <v>1</v>
      </c>
      <c r="B57" s="68" t="str">
        <f>INDEX(B$2:B$11, MATCH(LARGE(R$2:R$11, ROW(A1)),R$2:R$11,0))</f>
        <v>GT</v>
      </c>
      <c r="C57" s="55">
        <f>INDEX(R$2:R$11, MATCH(B57,B$2:B$11,0))</f>
        <v>0.79430909030289898</v>
      </c>
      <c r="D57" s="69"/>
    </row>
    <row r="58" spans="1:4" x14ac:dyDescent="0.35">
      <c r="A58" s="45">
        <v>2</v>
      </c>
      <c r="B58" s="68" t="str">
        <f t="shared" ref="B58:B66" si="21">INDEX(B$2:B$11, MATCH(LARGE(R$2:R$11, ROW(A2)),R$2:R$11,0))</f>
        <v>RR</v>
      </c>
      <c r="C58" s="55">
        <f t="shared" ref="C58:C66" si="22">INDEX(R$2:R$11, MATCH(B58,B$2:B$11,0))</f>
        <v>0.73617923671657548</v>
      </c>
      <c r="D58" s="69"/>
    </row>
    <row r="59" spans="1:4" x14ac:dyDescent="0.35">
      <c r="A59" s="45">
        <v>3</v>
      </c>
      <c r="B59" s="68" t="str">
        <f t="shared" si="21"/>
        <v>LSG</v>
      </c>
      <c r="C59" s="55">
        <f t="shared" si="22"/>
        <v>0.7199183363327496</v>
      </c>
      <c r="D59" s="69"/>
    </row>
    <row r="60" spans="1:4" x14ac:dyDescent="0.35">
      <c r="A60" s="45">
        <v>4</v>
      </c>
      <c r="B60" s="68" t="str">
        <f t="shared" si="21"/>
        <v>KKR</v>
      </c>
      <c r="C60" s="55">
        <f t="shared" si="22"/>
        <v>0.66500818766208736</v>
      </c>
      <c r="D60" s="69"/>
    </row>
    <row r="61" spans="1:4" x14ac:dyDescent="0.35">
      <c r="A61" s="45">
        <v>5</v>
      </c>
      <c r="B61" s="68" t="str">
        <f t="shared" si="21"/>
        <v>CSK</v>
      </c>
      <c r="C61" s="55">
        <f t="shared" si="22"/>
        <v>0.58011041495076487</v>
      </c>
      <c r="D61" s="69"/>
    </row>
    <row r="62" spans="1:4" x14ac:dyDescent="0.35">
      <c r="A62" s="45">
        <v>6</v>
      </c>
      <c r="B62" s="68" t="str">
        <f t="shared" si="21"/>
        <v>RCB</v>
      </c>
      <c r="C62" s="55">
        <f t="shared" si="22"/>
        <v>0.49432389994569376</v>
      </c>
      <c r="D62" s="69"/>
    </row>
    <row r="63" spans="1:4" x14ac:dyDescent="0.35">
      <c r="A63" s="45">
        <v>7</v>
      </c>
      <c r="B63" s="68" t="str">
        <f t="shared" si="21"/>
        <v>DC</v>
      </c>
      <c r="C63" s="55">
        <f t="shared" si="22"/>
        <v>0.46472797083536399</v>
      </c>
      <c r="D63" s="69"/>
    </row>
    <row r="64" spans="1:4" x14ac:dyDescent="0.35">
      <c r="A64" s="45">
        <v>8</v>
      </c>
      <c r="B64" s="68" t="str">
        <f t="shared" si="21"/>
        <v>PBKS</v>
      </c>
      <c r="C64" s="55">
        <f t="shared" si="22"/>
        <v>0.44131106267831238</v>
      </c>
      <c r="D64" s="69"/>
    </row>
    <row r="65" spans="1:4" x14ac:dyDescent="0.35">
      <c r="A65" s="45">
        <v>9</v>
      </c>
      <c r="B65" s="68" t="str">
        <f t="shared" si="21"/>
        <v>SRH</v>
      </c>
      <c r="C65" s="55">
        <f t="shared" si="22"/>
        <v>0.27456295861514385</v>
      </c>
      <c r="D65" s="69"/>
    </row>
    <row r="66" spans="1:4" x14ac:dyDescent="0.35">
      <c r="A66" s="45">
        <v>10</v>
      </c>
      <c r="B66" s="68" t="str">
        <f t="shared" si="21"/>
        <v>MI</v>
      </c>
      <c r="C66" s="55">
        <f t="shared" si="22"/>
        <v>7.1249364948542046E-2</v>
      </c>
      <c r="D66" s="69"/>
    </row>
    <row r="69" spans="1:4" x14ac:dyDescent="0.35">
      <c r="A69" s="108" t="s">
        <v>120</v>
      </c>
      <c r="B69" s="108"/>
      <c r="C69" s="108"/>
      <c r="D69" s="108"/>
    </row>
    <row r="70" spans="1:4" x14ac:dyDescent="0.35">
      <c r="A70" s="108"/>
      <c r="B70" s="108"/>
      <c r="C70" s="108"/>
      <c r="D70" s="108"/>
    </row>
    <row r="71" spans="1:4" x14ac:dyDescent="0.35">
      <c r="A71" s="45">
        <v>1</v>
      </c>
      <c r="B71" s="68" t="str">
        <f t="shared" ref="B71:B80" si="23">INDEX(B$2:B$11, MATCH(LARGE(AB$2:AB$11, ROW(A1)),AB$2:AB$11,0))</f>
        <v>RR</v>
      </c>
      <c r="C71" s="55">
        <f t="shared" ref="C71:C80" si="24">INDEX(AB$2:AB$11, MATCH(B71,B$2:B$11,0))</f>
        <v>0.68852622878596981</v>
      </c>
      <c r="D71" s="69"/>
    </row>
    <row r="72" spans="1:4" x14ac:dyDescent="0.35">
      <c r="A72" s="45">
        <v>2</v>
      </c>
      <c r="B72" s="68" t="str">
        <f t="shared" si="23"/>
        <v>KKR</v>
      </c>
      <c r="C72" s="55">
        <f t="shared" si="24"/>
        <v>0.65478750805388664</v>
      </c>
      <c r="D72" s="69"/>
    </row>
    <row r="73" spans="1:4" x14ac:dyDescent="0.35">
      <c r="A73" s="45">
        <v>3</v>
      </c>
      <c r="B73" s="68" t="str">
        <f t="shared" si="23"/>
        <v>GT</v>
      </c>
      <c r="C73" s="55">
        <f t="shared" si="24"/>
        <v>0.58856495256569097</v>
      </c>
      <c r="D73" s="69"/>
    </row>
    <row r="74" spans="1:4" x14ac:dyDescent="0.35">
      <c r="A74" s="45">
        <v>4</v>
      </c>
      <c r="B74" s="68" t="str">
        <f t="shared" si="23"/>
        <v>LSG</v>
      </c>
      <c r="C74" s="55">
        <f t="shared" si="24"/>
        <v>0.55818625823032564</v>
      </c>
      <c r="D74" s="69"/>
    </row>
    <row r="75" spans="1:4" x14ac:dyDescent="0.35">
      <c r="A75" s="45">
        <v>5</v>
      </c>
      <c r="B75" s="68" t="str">
        <f t="shared" si="23"/>
        <v>RCB</v>
      </c>
      <c r="C75" s="55">
        <f t="shared" si="24"/>
        <v>0.52918288810300518</v>
      </c>
      <c r="D75" s="69"/>
    </row>
    <row r="76" spans="1:4" x14ac:dyDescent="0.35">
      <c r="A76" s="45">
        <v>6</v>
      </c>
      <c r="B76" s="68" t="str">
        <f t="shared" si="23"/>
        <v>PBKS</v>
      </c>
      <c r="C76" s="55">
        <f t="shared" si="24"/>
        <v>0.51556901607172401</v>
      </c>
      <c r="D76" s="69"/>
    </row>
    <row r="77" spans="1:4" x14ac:dyDescent="0.35">
      <c r="A77" s="45">
        <v>7</v>
      </c>
      <c r="B77" s="68" t="str">
        <f t="shared" si="23"/>
        <v>CSK</v>
      </c>
      <c r="C77" s="55">
        <f t="shared" si="24"/>
        <v>0.49435217436486534</v>
      </c>
      <c r="D77" s="69"/>
    </row>
    <row r="78" spans="1:4" x14ac:dyDescent="0.35">
      <c r="A78" s="45">
        <v>8</v>
      </c>
      <c r="B78" s="68" t="str">
        <f t="shared" si="23"/>
        <v>DC</v>
      </c>
      <c r="C78" s="55">
        <f t="shared" si="24"/>
        <v>0.48033274213520488</v>
      </c>
      <c r="D78" s="69"/>
    </row>
    <row r="79" spans="1:4" x14ac:dyDescent="0.35">
      <c r="A79" s="45">
        <v>9</v>
      </c>
      <c r="B79" s="68" t="str">
        <f t="shared" si="23"/>
        <v>SRH</v>
      </c>
      <c r="C79" s="55">
        <f t="shared" si="24"/>
        <v>0.41814207953524063</v>
      </c>
      <c r="D79" s="69"/>
    </row>
    <row r="80" spans="1:4" x14ac:dyDescent="0.35">
      <c r="A80" s="45">
        <v>10</v>
      </c>
      <c r="B80" s="68" t="str">
        <f t="shared" si="23"/>
        <v>MI</v>
      </c>
      <c r="C80" s="55">
        <f t="shared" si="24"/>
        <v>0.28345291492902763</v>
      </c>
      <c r="D80" s="69"/>
    </row>
    <row r="82" spans="1:4" ht="15.5" x14ac:dyDescent="0.35">
      <c r="A82" s="102" t="s">
        <v>124</v>
      </c>
      <c r="B82" s="103"/>
      <c r="C82" s="103"/>
      <c r="D82" s="104"/>
    </row>
    <row r="83" spans="1:4" ht="15.5" x14ac:dyDescent="0.35">
      <c r="A83" s="76"/>
      <c r="B83" s="76"/>
      <c r="C83" s="76"/>
      <c r="D83" s="76"/>
    </row>
    <row r="84" spans="1:4" ht="15.5" x14ac:dyDescent="0.35">
      <c r="A84" s="74">
        <v>1</v>
      </c>
      <c r="B84" s="70" t="str">
        <f t="shared" ref="B84:B93" si="25">INDEX(B$2:B$11, MATCH(LARGE(V$2:V$11, ROW(A1)),V$2:V$11,0))</f>
        <v>RR</v>
      </c>
      <c r="C84" s="71">
        <f t="shared" ref="C84:C93" si="26">INDEX(V$2:V$11, MATCH(B84,B$2:B$11,0))</f>
        <v>0.6436773113150539</v>
      </c>
      <c r="D84" s="75"/>
    </row>
    <row r="85" spans="1:4" ht="15.5" x14ac:dyDescent="0.35">
      <c r="A85" s="74">
        <v>2</v>
      </c>
      <c r="B85" s="70" t="str">
        <f t="shared" si="25"/>
        <v>KKR</v>
      </c>
      <c r="C85" s="71">
        <f t="shared" si="26"/>
        <v>0.61817104220942098</v>
      </c>
      <c r="D85" s="75"/>
    </row>
    <row r="86" spans="1:4" ht="15.5" x14ac:dyDescent="0.35">
      <c r="A86" s="74">
        <v>3</v>
      </c>
      <c r="B86" s="70" t="str">
        <f t="shared" si="25"/>
        <v>GT</v>
      </c>
      <c r="C86" s="71">
        <f t="shared" si="26"/>
        <v>0.60047243127303629</v>
      </c>
      <c r="D86" s="75"/>
    </row>
    <row r="87" spans="1:4" ht="15.5" x14ac:dyDescent="0.35">
      <c r="A87" s="74">
        <v>4</v>
      </c>
      <c r="B87" s="70" t="str">
        <f t="shared" si="25"/>
        <v>LSG</v>
      </c>
      <c r="C87" s="71">
        <f t="shared" si="26"/>
        <v>0.56552266204947765</v>
      </c>
      <c r="D87" s="75"/>
    </row>
    <row r="88" spans="1:4" ht="15.5" x14ac:dyDescent="0.35">
      <c r="A88" s="74">
        <v>5</v>
      </c>
      <c r="B88" s="70" t="str">
        <f t="shared" si="25"/>
        <v>RCB</v>
      </c>
      <c r="C88" s="71">
        <f t="shared" si="26"/>
        <v>0.54962016269605563</v>
      </c>
      <c r="D88" s="75"/>
    </row>
    <row r="89" spans="1:4" ht="15.5" x14ac:dyDescent="0.35">
      <c r="A89" s="74">
        <v>6</v>
      </c>
      <c r="B89" s="70" t="str">
        <f t="shared" si="25"/>
        <v>PBKS</v>
      </c>
      <c r="C89" s="71">
        <f t="shared" si="26"/>
        <v>0.47880747738435264</v>
      </c>
      <c r="D89" s="75"/>
    </row>
    <row r="90" spans="1:4" ht="15.5" x14ac:dyDescent="0.35">
      <c r="A90" s="74">
        <v>7</v>
      </c>
      <c r="B90" s="70" t="str">
        <f t="shared" si="25"/>
        <v>CSK</v>
      </c>
      <c r="C90" s="71">
        <f t="shared" si="26"/>
        <v>0.47553318116530857</v>
      </c>
      <c r="D90" s="75"/>
    </row>
    <row r="91" spans="1:4" ht="15.5" x14ac:dyDescent="0.35">
      <c r="A91" s="74">
        <v>8</v>
      </c>
      <c r="B91" s="70" t="str">
        <f t="shared" si="25"/>
        <v>DC</v>
      </c>
      <c r="C91" s="71">
        <f t="shared" si="26"/>
        <v>0.44967957193192509</v>
      </c>
      <c r="D91" s="75"/>
    </row>
    <row r="92" spans="1:4" ht="15.5" x14ac:dyDescent="0.35">
      <c r="A92" s="74">
        <v>9</v>
      </c>
      <c r="B92" s="70" t="str">
        <f t="shared" si="25"/>
        <v>SRH</v>
      </c>
      <c r="C92" s="71">
        <f t="shared" si="26"/>
        <v>0.42869984840624314</v>
      </c>
      <c r="D92" s="75"/>
    </row>
    <row r="93" spans="1:4" ht="15.5" x14ac:dyDescent="0.35">
      <c r="A93" s="74">
        <v>10</v>
      </c>
      <c r="B93" s="70" t="str">
        <f t="shared" si="25"/>
        <v>MI</v>
      </c>
      <c r="C93" s="71">
        <f t="shared" si="26"/>
        <v>0.3270808498363677</v>
      </c>
      <c r="D93" s="75"/>
    </row>
    <row r="95" spans="1:4" ht="15.5" x14ac:dyDescent="0.35">
      <c r="A95" s="105" t="s">
        <v>145</v>
      </c>
      <c r="B95" s="106"/>
      <c r="C95" s="106"/>
      <c r="D95" s="107"/>
    </row>
    <row r="96" spans="1:4" ht="15.5" x14ac:dyDescent="0.35">
      <c r="A96" s="77"/>
      <c r="B96" s="77"/>
      <c r="C96" s="77"/>
      <c r="D96" s="77"/>
    </row>
    <row r="97" spans="1:4" ht="15.5" x14ac:dyDescent="0.35">
      <c r="A97" s="78">
        <v>1</v>
      </c>
      <c r="B97" s="79" t="str">
        <f t="shared" ref="B97:B106" si="27">INDEX(B$2:B$11, MATCH(LARGE(X$2:X$11, ROW(A1)),X$2:X$11,0))</f>
        <v>RCB</v>
      </c>
      <c r="C97" s="80">
        <f t="shared" ref="C97:C106" si="28">INDEX(X$2:X$11, MATCH(B97,B$2:B$11,0))</f>
        <v>1</v>
      </c>
      <c r="D97" s="81"/>
    </row>
    <row r="98" spans="1:4" ht="15.5" x14ac:dyDescent="0.35">
      <c r="A98" s="78">
        <v>2</v>
      </c>
      <c r="B98" s="79" t="str">
        <f t="shared" si="27"/>
        <v>RR</v>
      </c>
      <c r="C98" s="80">
        <f t="shared" si="28"/>
        <v>0.63823424108848226</v>
      </c>
      <c r="D98" s="81"/>
    </row>
    <row r="99" spans="1:4" ht="15.5" x14ac:dyDescent="0.35">
      <c r="A99" s="78">
        <v>3</v>
      </c>
      <c r="B99" s="79" t="str">
        <f t="shared" si="27"/>
        <v>SRH</v>
      </c>
      <c r="C99" s="80">
        <f t="shared" si="28"/>
        <v>0.62089846618408528</v>
      </c>
      <c r="D99" s="81"/>
    </row>
    <row r="100" spans="1:4" ht="15.5" x14ac:dyDescent="0.35">
      <c r="A100" s="78">
        <v>4</v>
      </c>
      <c r="B100" s="79" t="str">
        <f t="shared" si="27"/>
        <v>PBKS</v>
      </c>
      <c r="C100" s="80">
        <f t="shared" si="28"/>
        <v>0.53233151038475113</v>
      </c>
      <c r="D100" s="81"/>
    </row>
    <row r="101" spans="1:4" ht="15.5" x14ac:dyDescent="0.35">
      <c r="A101" s="78">
        <v>5</v>
      </c>
      <c r="B101" s="79" t="str">
        <f t="shared" si="27"/>
        <v>KKR</v>
      </c>
      <c r="C101" s="80">
        <f t="shared" si="28"/>
        <v>0.48540873146693231</v>
      </c>
      <c r="D101" s="81"/>
    </row>
    <row r="102" spans="1:4" ht="15.5" x14ac:dyDescent="0.35">
      <c r="A102" s="78">
        <v>6</v>
      </c>
      <c r="B102" s="79" t="str">
        <f t="shared" si="27"/>
        <v>LSG</v>
      </c>
      <c r="C102" s="80">
        <f t="shared" si="28"/>
        <v>0.44076271752665341</v>
      </c>
      <c r="D102" s="81"/>
    </row>
    <row r="103" spans="1:4" ht="15.5" x14ac:dyDescent="0.35">
      <c r="A103" s="78">
        <v>7</v>
      </c>
      <c r="B103" s="79" t="str">
        <f t="shared" si="27"/>
        <v>MI</v>
      </c>
      <c r="C103" s="80">
        <f t="shared" si="28"/>
        <v>0.40368723435010978</v>
      </c>
      <c r="D103" s="81"/>
    </row>
    <row r="104" spans="1:4" ht="15.5" x14ac:dyDescent="0.35">
      <c r="A104" s="78">
        <v>8</v>
      </c>
      <c r="B104" s="79" t="str">
        <f t="shared" si="27"/>
        <v>DC</v>
      </c>
      <c r="C104" s="80">
        <f t="shared" si="28"/>
        <v>0.32899595973726026</v>
      </c>
      <c r="D104" s="81"/>
    </row>
    <row r="105" spans="1:4" ht="15.5" x14ac:dyDescent="0.35">
      <c r="A105" s="78">
        <v>9</v>
      </c>
      <c r="B105" s="79" t="str">
        <f t="shared" si="27"/>
        <v>CSK</v>
      </c>
      <c r="C105" s="80">
        <f t="shared" si="28"/>
        <v>0.12559358039197432</v>
      </c>
      <c r="D105" s="81"/>
    </row>
    <row r="106" spans="1:4" ht="15.5" x14ac:dyDescent="0.35">
      <c r="A106" s="78">
        <v>10</v>
      </c>
      <c r="B106" s="79" t="str">
        <f t="shared" si="27"/>
        <v>GT</v>
      </c>
      <c r="C106" s="80">
        <f t="shared" si="28"/>
        <v>0</v>
      </c>
      <c r="D106" s="81"/>
    </row>
  </sheetData>
  <sortState xmlns:xlrd2="http://schemas.microsoft.com/office/spreadsheetml/2017/richdata2" ref="A14:C24">
    <sortCondition descending="1" ref="C15:C24"/>
  </sortState>
  <mergeCells count="8">
    <mergeCell ref="N13:Y13"/>
    <mergeCell ref="A82:D82"/>
    <mergeCell ref="A95:D95"/>
    <mergeCell ref="A13:C13"/>
    <mergeCell ref="A27:D28"/>
    <mergeCell ref="A41:D42"/>
    <mergeCell ref="A55:D56"/>
    <mergeCell ref="A69:D70"/>
  </mergeCells>
  <phoneticPr fontId="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581B-E7BF-4A23-83B4-E2A4B535AE40}">
  <dimension ref="A1:D25"/>
  <sheetViews>
    <sheetView workbookViewId="0">
      <selection activeCell="F18" sqref="F18"/>
    </sheetView>
  </sheetViews>
  <sheetFormatPr defaultRowHeight="14.5" x14ac:dyDescent="0.35"/>
  <sheetData>
    <row r="1" spans="1:4" x14ac:dyDescent="0.35">
      <c r="A1" s="115" t="s">
        <v>124</v>
      </c>
      <c r="B1" s="115"/>
      <c r="C1" s="115"/>
      <c r="D1" s="115"/>
    </row>
    <row r="2" spans="1:4" x14ac:dyDescent="0.35">
      <c r="A2" s="1"/>
      <c r="B2" s="1"/>
      <c r="C2" s="1" t="s">
        <v>126</v>
      </c>
      <c r="D2" s="1"/>
    </row>
    <row r="3" spans="1:4" x14ac:dyDescent="0.35">
      <c r="A3" s="1">
        <v>1</v>
      </c>
      <c r="B3" s="1" t="s">
        <v>22</v>
      </c>
      <c r="C3" s="8">
        <v>0.6436773113150539</v>
      </c>
      <c r="D3" s="8"/>
    </row>
    <row r="4" spans="1:4" x14ac:dyDescent="0.35">
      <c r="A4" s="1">
        <v>2</v>
      </c>
      <c r="B4" s="1" t="s">
        <v>28</v>
      </c>
      <c r="C4" s="8">
        <v>0.61817104220942098</v>
      </c>
      <c r="D4" s="8"/>
    </row>
    <row r="5" spans="1:4" x14ac:dyDescent="0.35">
      <c r="A5" s="1">
        <v>3</v>
      </c>
      <c r="B5" s="1" t="s">
        <v>10</v>
      </c>
      <c r="C5" s="8">
        <v>0.60047243127303629</v>
      </c>
      <c r="D5" s="8"/>
    </row>
    <row r="6" spans="1:4" x14ac:dyDescent="0.35">
      <c r="A6" s="1">
        <v>4</v>
      </c>
      <c r="B6" s="1" t="s">
        <v>16</v>
      </c>
      <c r="C6" s="8">
        <v>0.56552266204947765</v>
      </c>
      <c r="D6" s="8"/>
    </row>
    <row r="7" spans="1:4" x14ac:dyDescent="0.35">
      <c r="A7" s="1">
        <v>5</v>
      </c>
      <c r="B7" s="1" t="s">
        <v>25</v>
      </c>
      <c r="C7" s="8">
        <v>0.54962016269605563</v>
      </c>
      <c r="D7" s="8"/>
    </row>
    <row r="8" spans="1:4" x14ac:dyDescent="0.35">
      <c r="A8" s="1">
        <v>6</v>
      </c>
      <c r="B8" s="1" t="s">
        <v>31</v>
      </c>
      <c r="C8" s="8">
        <v>0.47880747738435264</v>
      </c>
      <c r="D8" s="8"/>
    </row>
    <row r="9" spans="1:4" x14ac:dyDescent="0.35">
      <c r="A9" s="1">
        <v>7</v>
      </c>
      <c r="B9" s="1" t="s">
        <v>13</v>
      </c>
      <c r="C9" s="8">
        <v>0.47553318116530857</v>
      </c>
      <c r="D9" s="8"/>
    </row>
    <row r="10" spans="1:4" x14ac:dyDescent="0.35">
      <c r="A10" s="1">
        <v>8</v>
      </c>
      <c r="B10" s="1" t="s">
        <v>34</v>
      </c>
      <c r="C10" s="8">
        <v>0.44967957193192509</v>
      </c>
      <c r="D10" s="8"/>
    </row>
    <row r="11" spans="1:4" x14ac:dyDescent="0.35">
      <c r="A11" s="1">
        <v>9</v>
      </c>
      <c r="B11" s="1" t="s">
        <v>37</v>
      </c>
      <c r="C11" s="8">
        <v>0.42869984840624314</v>
      </c>
      <c r="D11" s="8"/>
    </row>
    <row r="12" spans="1:4" x14ac:dyDescent="0.35">
      <c r="A12" s="1">
        <v>10</v>
      </c>
      <c r="B12" s="1" t="s">
        <v>19</v>
      </c>
      <c r="C12" s="8">
        <v>0.3270808498363677</v>
      </c>
      <c r="D12" s="8"/>
    </row>
    <row r="14" spans="1:4" x14ac:dyDescent="0.35">
      <c r="A14" t="s">
        <v>125</v>
      </c>
    </row>
    <row r="15" spans="1:4" x14ac:dyDescent="0.35">
      <c r="C15" t="s">
        <v>121</v>
      </c>
    </row>
    <row r="16" spans="1:4" x14ac:dyDescent="0.35">
      <c r="A16">
        <v>1</v>
      </c>
      <c r="B16" t="s">
        <v>25</v>
      </c>
      <c r="C16" s="4">
        <v>1</v>
      </c>
      <c r="D16" s="4"/>
    </row>
    <row r="17" spans="1:4" x14ac:dyDescent="0.35">
      <c r="A17">
        <v>2</v>
      </c>
      <c r="B17" t="s">
        <v>22</v>
      </c>
      <c r="C17" s="4">
        <v>0.63823424108848226</v>
      </c>
      <c r="D17" s="4"/>
    </row>
    <row r="18" spans="1:4" x14ac:dyDescent="0.35">
      <c r="A18">
        <v>3</v>
      </c>
      <c r="B18" t="s">
        <v>37</v>
      </c>
      <c r="C18" s="4">
        <v>0.62089846618408528</v>
      </c>
      <c r="D18" s="4"/>
    </row>
    <row r="19" spans="1:4" x14ac:dyDescent="0.35">
      <c r="A19">
        <v>4</v>
      </c>
      <c r="B19" t="s">
        <v>31</v>
      </c>
      <c r="C19" s="4">
        <v>0.53233151038475113</v>
      </c>
      <c r="D19" s="4"/>
    </row>
    <row r="20" spans="1:4" x14ac:dyDescent="0.35">
      <c r="A20">
        <v>5</v>
      </c>
      <c r="B20" t="s">
        <v>28</v>
      </c>
      <c r="C20" s="4">
        <v>0.48540873146693231</v>
      </c>
      <c r="D20" s="4"/>
    </row>
    <row r="21" spans="1:4" x14ac:dyDescent="0.35">
      <c r="A21">
        <v>6</v>
      </c>
      <c r="B21" t="s">
        <v>16</v>
      </c>
      <c r="C21" s="4">
        <v>0.44076271752665341</v>
      </c>
      <c r="D21" s="4"/>
    </row>
    <row r="22" spans="1:4" x14ac:dyDescent="0.35">
      <c r="A22">
        <v>7</v>
      </c>
      <c r="B22" t="s">
        <v>19</v>
      </c>
      <c r="C22" s="4">
        <v>0.40368723435010978</v>
      </c>
      <c r="D22" s="4"/>
    </row>
    <row r="23" spans="1:4" x14ac:dyDescent="0.35">
      <c r="A23">
        <v>8</v>
      </c>
      <c r="B23" t="s">
        <v>34</v>
      </c>
      <c r="C23" s="4">
        <v>0.32899595973726026</v>
      </c>
      <c r="D23" s="4"/>
    </row>
    <row r="24" spans="1:4" x14ac:dyDescent="0.35">
      <c r="A24">
        <v>9</v>
      </c>
      <c r="B24" t="s">
        <v>13</v>
      </c>
      <c r="C24" s="4">
        <v>0.12559358039197432</v>
      </c>
      <c r="D24" s="4"/>
    </row>
    <row r="25" spans="1:4" x14ac:dyDescent="0.35">
      <c r="A25">
        <v>10</v>
      </c>
      <c r="B25" t="s">
        <v>10</v>
      </c>
      <c r="C25" s="4">
        <v>0</v>
      </c>
      <c r="D25" s="4"/>
    </row>
  </sheetData>
  <mergeCells count="1">
    <mergeCell ref="A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EC79-C5DE-40B4-83BC-82C3A40B3799}">
  <dimension ref="A1:E24"/>
  <sheetViews>
    <sheetView topLeftCell="A36" workbookViewId="0">
      <selection activeCell="F2" sqref="F2"/>
    </sheetView>
  </sheetViews>
  <sheetFormatPr defaultRowHeight="14.5" x14ac:dyDescent="0.35"/>
  <sheetData>
    <row r="1" spans="1:5" x14ac:dyDescent="0.35">
      <c r="A1" s="116" t="s">
        <v>128</v>
      </c>
      <c r="B1" s="116"/>
      <c r="C1" s="116"/>
      <c r="D1" s="116"/>
      <c r="E1" s="116"/>
    </row>
    <row r="2" spans="1:5" x14ac:dyDescent="0.35">
      <c r="A2" s="82"/>
      <c r="B2" s="82"/>
      <c r="C2" s="82">
        <v>2022</v>
      </c>
      <c r="D2" s="82">
        <v>2023</v>
      </c>
      <c r="E2" s="82">
        <v>2024</v>
      </c>
    </row>
    <row r="3" spans="1:5" x14ac:dyDescent="0.35">
      <c r="A3" s="68" t="s">
        <v>0</v>
      </c>
      <c r="B3" s="68" t="s">
        <v>127</v>
      </c>
      <c r="C3" s="68" t="s">
        <v>112</v>
      </c>
      <c r="D3" s="68" t="s">
        <v>113</v>
      </c>
      <c r="E3" s="68" t="s">
        <v>114</v>
      </c>
    </row>
    <row r="4" spans="1:5" x14ac:dyDescent="0.35">
      <c r="A4" s="1">
        <v>1</v>
      </c>
      <c r="B4" s="1" t="str">
        <f>' Ranking based on Avg SDI		'!B3</f>
        <v>RR</v>
      </c>
      <c r="C4" s="72">
        <f>INDEX('Overall Ranks'!S$2:S$11,MATCH('Team wise graphs'!$B4,'Overall Ranks'!$B$2:$B$11,0))</f>
        <v>0.80381459033275282</v>
      </c>
      <c r="D4" s="72">
        <f>INDEX('Overall Ranks'!T$2:T$11,MATCH('Team wise graphs'!$B4,'Overall Ranks'!$B$2:$B$11,0))</f>
        <v>0.56687101829169695</v>
      </c>
      <c r="E4" s="72">
        <f>INDEX('Overall Ranks'!U$2:U$11,MATCH('Team wise graphs'!$B4,'Overall Ranks'!$B$2:$B$11,0))</f>
        <v>0.56034632532071194</v>
      </c>
    </row>
    <row r="5" spans="1:5" x14ac:dyDescent="0.35">
      <c r="A5" s="1">
        <v>2</v>
      </c>
      <c r="B5" s="1" t="str">
        <f>' Ranking based on Avg SDI		'!B4</f>
        <v>KKR</v>
      </c>
      <c r="C5" s="72">
        <f>INDEX('Overall Ranks'!S$2:S$11,MATCH('Team wise graphs'!$B5,'Overall Ranks'!$B$2:$B$11,0))</f>
        <v>0.60484345232038772</v>
      </c>
      <c r="D5" s="72">
        <f>INDEX('Overall Ranks'!T$2:T$11,MATCH('Team wise graphs'!$B5,'Overall Ranks'!$B$2:$B$11,0))</f>
        <v>0.43635502101282436</v>
      </c>
      <c r="E5" s="72">
        <f>INDEX('Overall Ranks'!U$2:U$11,MATCH('Team wise graphs'!$B5,'Overall Ranks'!$B$2:$B$11,0))</f>
        <v>0.81331465329505104</v>
      </c>
    </row>
    <row r="6" spans="1:5" x14ac:dyDescent="0.35">
      <c r="A6" s="1">
        <v>3</v>
      </c>
      <c r="B6" s="1" t="str">
        <f>' Ranking based on Avg SDI		'!B5</f>
        <v>GT</v>
      </c>
      <c r="C6" s="72">
        <f>INDEX('Overall Ranks'!S$2:S$11,MATCH('Team wise graphs'!$B6,'Overall Ranks'!$B$2:$B$11,0))</f>
        <v>0.76897981821693728</v>
      </c>
      <c r="D6" s="72">
        <f>INDEX('Overall Ranks'!T$2:T$11,MATCH('Team wise graphs'!$B6,'Overall Ranks'!$B$2:$B$11,0))</f>
        <v>0.8321412421087242</v>
      </c>
      <c r="E6" s="72">
        <f>INDEX('Overall Ranks'!U$2:U$11,MATCH('Team wise graphs'!$B6,'Overall Ranks'!$B$2:$B$11,0))</f>
        <v>0.20029623349344738</v>
      </c>
    </row>
    <row r="7" spans="1:5" x14ac:dyDescent="0.35">
      <c r="A7" s="1">
        <v>4</v>
      </c>
      <c r="B7" s="1" t="str">
        <f>' Ranking based on Avg SDI		'!B6</f>
        <v>LSG</v>
      </c>
      <c r="C7" s="72">
        <f>INDEX('Overall Ranks'!S$2:S$11,MATCH('Team wise graphs'!$B7,'Overall Ranks'!$B$2:$B$11,0))</f>
        <v>0.72732106134308383</v>
      </c>
      <c r="D7" s="72">
        <f>INDEX('Overall Ranks'!T$2:T$11,MATCH('Team wise graphs'!$B7,'Overall Ranks'!$B$2:$B$11,0))</f>
        <v>0.63215973598950093</v>
      </c>
      <c r="E7" s="72">
        <f>INDEX('Overall Ranks'!U$2:U$11,MATCH('Team wise graphs'!$B7,'Overall Ranks'!$B$2:$B$11,0))</f>
        <v>0.33708718881584809</v>
      </c>
    </row>
    <row r="8" spans="1:5" x14ac:dyDescent="0.35">
      <c r="A8" s="1">
        <v>5</v>
      </c>
      <c r="B8" s="1" t="str">
        <f>' Ranking based on Avg SDI		'!B7</f>
        <v>RCB</v>
      </c>
      <c r="C8" s="72">
        <f>INDEX('Overall Ranks'!S$2:S$11,MATCH('Team wise graphs'!$B8,'Overall Ranks'!$B$2:$B$11,0))</f>
        <v>0.52712441741625982</v>
      </c>
      <c r="D8" s="72">
        <f>INDEX('Overall Ranks'!T$2:T$11,MATCH('Team wise graphs'!$B8,'Overall Ranks'!$B$2:$B$11,0))</f>
        <v>0.56580672163590473</v>
      </c>
      <c r="E8" s="72">
        <f>INDEX('Overall Ranks'!U$2:U$11,MATCH('Team wise graphs'!$B8,'Overall Ranks'!$B$2:$B$11,0))</f>
        <v>0.55592934903600233</v>
      </c>
    </row>
    <row r="9" spans="1:5" x14ac:dyDescent="0.35">
      <c r="A9" s="1">
        <v>6</v>
      </c>
      <c r="B9" s="1" t="str">
        <f>' Ranking based on Avg SDI		'!B8</f>
        <v>PBKS</v>
      </c>
      <c r="C9" s="72">
        <f>INDEX('Overall Ranks'!S$2:S$11,MATCH('Team wise graphs'!$B9,'Overall Ranks'!$B$2:$B$11,0))</f>
        <v>0.67456409850755639</v>
      </c>
      <c r="D9" s="72">
        <f>INDEX('Overall Ranks'!T$2:T$11,MATCH('Team wise graphs'!$B9,'Overall Ranks'!$B$2:$B$11,0))</f>
        <v>0.41758063349161012</v>
      </c>
      <c r="E9" s="72">
        <f>INDEX('Overall Ranks'!U$2:U$11,MATCH('Team wise graphs'!$B9,'Overall Ranks'!$B$2:$B$11,0))</f>
        <v>0.34427770015389153</v>
      </c>
    </row>
    <row r="10" spans="1:5" x14ac:dyDescent="0.35">
      <c r="A10" s="1">
        <v>7</v>
      </c>
      <c r="B10" s="1" t="str">
        <f>' Ranking based on Avg SDI		'!B9</f>
        <v>CSK</v>
      </c>
      <c r="C10" s="72">
        <f>INDEX('Overall Ranks'!S$2:S$11,MATCH('Team wise graphs'!$B10,'Overall Ranks'!$B$2:$B$11,0))</f>
        <v>0.13581502097964193</v>
      </c>
      <c r="D10" s="72">
        <f>INDEX('Overall Ranks'!T$2:T$11,MATCH('Team wise graphs'!$B10,'Overall Ranks'!$B$2:$B$11,0))</f>
        <v>0.73245562689263777</v>
      </c>
      <c r="E10" s="72">
        <f>INDEX('Overall Ranks'!U$2:U$11,MATCH('Team wise graphs'!$B10,'Overall Ranks'!$B$2:$B$11,0))</f>
        <v>0.55832889562364607</v>
      </c>
    </row>
    <row r="11" spans="1:5" x14ac:dyDescent="0.35">
      <c r="A11" s="1">
        <v>8</v>
      </c>
      <c r="B11" s="1" t="str">
        <f>' Ranking based on Avg SDI		'!B10</f>
        <v>DC</v>
      </c>
      <c r="C11" s="72">
        <f>INDEX('Overall Ranks'!S$2:S$11,MATCH('Team wise graphs'!$B11,'Overall Ranks'!$B$2:$B$11,0))</f>
        <v>0.71543173904883228</v>
      </c>
      <c r="D11" s="72">
        <f>INDEX('Overall Ranks'!T$2:T$11,MATCH('Team wise graphs'!$B11,'Overall Ranks'!$B$2:$B$11,0))</f>
        <v>0.24832136602902416</v>
      </c>
      <c r="E11" s="72">
        <f>INDEX('Overall Ranks'!U$2:U$11,MATCH('Team wise graphs'!$B11,'Overall Ranks'!$B$2:$B$11,0))</f>
        <v>0.38528561071791873</v>
      </c>
    </row>
    <row r="12" spans="1:5" x14ac:dyDescent="0.35">
      <c r="A12" s="1">
        <v>9</v>
      </c>
      <c r="B12" s="1" t="str">
        <f>' Ranking based on Avg SDI		'!B11</f>
        <v>SRH</v>
      </c>
      <c r="C12" s="72">
        <f>INDEX('Overall Ranks'!S$2:S$11,MATCH('Team wise graphs'!$B12,'Overall Ranks'!$B$2:$B$11,0))</f>
        <v>0.43579156057082685</v>
      </c>
      <c r="D12" s="72">
        <f>INDEX('Overall Ranks'!T$2:T$11,MATCH('Team wise graphs'!$B12,'Overall Ranks'!$B$2:$B$11,0))</f>
        <v>0.28087892513290214</v>
      </c>
      <c r="E12" s="72">
        <f>INDEX('Overall Ranks'!U$2:U$11,MATCH('Team wise graphs'!$B12,'Overall Ranks'!$B$2:$B$11,0))</f>
        <v>0.56942905951500034</v>
      </c>
    </row>
    <row r="13" spans="1:5" x14ac:dyDescent="0.35">
      <c r="A13" s="1">
        <v>10</v>
      </c>
      <c r="B13" s="1" t="str">
        <f>' Ranking based on Avg SDI		'!B12</f>
        <v>MI</v>
      </c>
      <c r="C13" s="72">
        <f>INDEX('Overall Ranks'!S$2:S$11,MATCH('Team wise graphs'!$B13,'Overall Ranks'!$B$2:$B$11,0))</f>
        <v>0.11682456458068909</v>
      </c>
      <c r="D13" s="72">
        <f>INDEX('Overall Ranks'!T$2:T$11,MATCH('Team wise graphs'!$B13,'Overall Ranks'!$B$2:$B$11,0))</f>
        <v>0.54770905517467894</v>
      </c>
      <c r="E13" s="72">
        <f>INDEX('Overall Ranks'!U$2:U$11,MATCH('Team wise graphs'!$B13,'Overall Ranks'!$B$2:$B$11,0))</f>
        <v>0.31670892975373499</v>
      </c>
    </row>
    <row r="14" spans="1:5" x14ac:dyDescent="0.35">
      <c r="A14" s="45" t="s">
        <v>0</v>
      </c>
      <c r="B14" s="45" t="s">
        <v>127</v>
      </c>
      <c r="C14" s="45" t="s">
        <v>129</v>
      </c>
      <c r="D14" s="45" t="s">
        <v>130</v>
      </c>
      <c r="E14" s="45" t="s">
        <v>131</v>
      </c>
    </row>
    <row r="15" spans="1:5" x14ac:dyDescent="0.35">
      <c r="A15" s="1">
        <v>1</v>
      </c>
      <c r="B15" s="1" t="str">
        <f>'Overall Ranks'!B14</f>
        <v>GT</v>
      </c>
      <c r="C15" s="72">
        <f>INDEX('Overall Ranks'!C$2:C$11,MATCH('Team wise graphs'!$B15,'Overall Ranks'!$B$2:$B$11,0))</f>
        <v>0.7142857142857143</v>
      </c>
      <c r="D15" s="72">
        <f>INDEX('Overall Ranks'!D$2:D$11,MATCH('Team wise graphs'!$B15,'Overall Ranks'!$B$2:$B$11,0))</f>
        <v>0.7142857142857143</v>
      </c>
      <c r="E15" s="72">
        <f>INDEX('Overall Ranks'!E$2:E$11,MATCH('Team wise graphs'!$B15,'Overall Ranks'!$B$2:$B$11,0))</f>
        <v>0.35714285714285715</v>
      </c>
    </row>
    <row r="16" spans="1:5" x14ac:dyDescent="0.35">
      <c r="A16" s="1">
        <v>2</v>
      </c>
      <c r="B16" s="1" t="str">
        <f>'Overall Ranks'!B15</f>
        <v>LSG</v>
      </c>
      <c r="C16" s="72">
        <f>INDEX('Overall Ranks'!C$2:C$11,MATCH('Team wise graphs'!$B16,'Overall Ranks'!$B$2:$B$11,0))</f>
        <v>0.6428571428571429</v>
      </c>
      <c r="D16" s="72">
        <f>INDEX('Overall Ranks'!D$2:D$11,MATCH('Team wise graphs'!$B16,'Overall Ranks'!$B$2:$B$11,0))</f>
        <v>0.5714285714285714</v>
      </c>
      <c r="E16" s="72">
        <f>INDEX('Overall Ranks'!E$2:E$11,MATCH('Team wise graphs'!$B16,'Overall Ranks'!$B$2:$B$11,0))</f>
        <v>0.5</v>
      </c>
    </row>
    <row r="17" spans="1:5" x14ac:dyDescent="0.35">
      <c r="A17" s="1">
        <v>3</v>
      </c>
      <c r="B17" s="1" t="str">
        <f>'Overall Ranks'!B16</f>
        <v>RR</v>
      </c>
      <c r="C17" s="72">
        <f>INDEX('Overall Ranks'!C$2:C$11,MATCH('Team wise graphs'!$B17,'Overall Ranks'!$B$2:$B$11,0))</f>
        <v>0.6428571428571429</v>
      </c>
      <c r="D17" s="72">
        <f>INDEX('Overall Ranks'!D$2:D$11,MATCH('Team wise graphs'!$B17,'Overall Ranks'!$B$2:$B$11,0))</f>
        <v>0.5</v>
      </c>
      <c r="E17" s="72">
        <f>INDEX('Overall Ranks'!E$2:E$11,MATCH('Team wise graphs'!$B17,'Overall Ranks'!$B$2:$B$11,0))</f>
        <v>0.5714285714285714</v>
      </c>
    </row>
    <row r="18" spans="1:5" x14ac:dyDescent="0.35">
      <c r="A18" s="1">
        <v>4</v>
      </c>
      <c r="B18" s="1" t="str">
        <f>'Overall Ranks'!B17</f>
        <v>RCB</v>
      </c>
      <c r="C18" s="72">
        <f>INDEX('Overall Ranks'!C$2:C$11,MATCH('Team wise graphs'!$B18,'Overall Ranks'!$B$2:$B$11,0))</f>
        <v>0.5714285714285714</v>
      </c>
      <c r="D18" s="72">
        <f>INDEX('Overall Ranks'!D$2:D$11,MATCH('Team wise graphs'!$B18,'Overall Ranks'!$B$2:$B$11,0))</f>
        <v>0.5</v>
      </c>
      <c r="E18" s="72">
        <f>INDEX('Overall Ranks'!E$2:E$11,MATCH('Team wise graphs'!$B18,'Overall Ranks'!$B$2:$B$11,0))</f>
        <v>0.5</v>
      </c>
    </row>
    <row r="19" spans="1:5" x14ac:dyDescent="0.35">
      <c r="A19" s="1">
        <v>5</v>
      </c>
      <c r="B19" s="1" t="str">
        <f>'Overall Ranks'!B18</f>
        <v>KKR</v>
      </c>
      <c r="C19" s="72">
        <f>INDEX('Overall Ranks'!C$2:C$11,MATCH('Team wise graphs'!$B19,'Overall Ranks'!$B$2:$B$11,0))</f>
        <v>0.42857142857142855</v>
      </c>
      <c r="D19" s="72">
        <f>INDEX('Overall Ranks'!D$2:D$11,MATCH('Team wise graphs'!$B19,'Overall Ranks'!$B$2:$B$11,0))</f>
        <v>0.42857142857142855</v>
      </c>
      <c r="E19" s="72">
        <f>INDEX('Overall Ranks'!E$2:E$11,MATCH('Team wise graphs'!$B19,'Overall Ranks'!$B$2:$B$11,0))</f>
        <v>0.6428571428571429</v>
      </c>
    </row>
    <row r="20" spans="1:5" x14ac:dyDescent="0.35">
      <c r="A20" s="1">
        <v>6</v>
      </c>
      <c r="B20" s="1" t="str">
        <f>'Overall Ranks'!B19</f>
        <v>DC</v>
      </c>
      <c r="C20" s="72">
        <f>INDEX('Overall Ranks'!C$2:C$11,MATCH('Team wise graphs'!$B20,'Overall Ranks'!$B$2:$B$11,0))</f>
        <v>0.5</v>
      </c>
      <c r="D20" s="72">
        <f>INDEX('Overall Ranks'!D$2:D$11,MATCH('Team wise graphs'!$B20,'Overall Ranks'!$B$2:$B$11,0))</f>
        <v>0.35714285714285715</v>
      </c>
      <c r="E20" s="72">
        <f>INDEX('Overall Ranks'!E$2:E$11,MATCH('Team wise graphs'!$B20,'Overall Ranks'!$B$2:$B$11,0))</f>
        <v>0.5</v>
      </c>
    </row>
    <row r="21" spans="1:5" x14ac:dyDescent="0.35">
      <c r="A21" s="1">
        <v>7</v>
      </c>
      <c r="B21" s="1" t="str">
        <f>'Overall Ranks'!B20</f>
        <v>CSK</v>
      </c>
      <c r="C21" s="72">
        <f>INDEX('Overall Ranks'!C$2:C$11,MATCH('Team wise graphs'!$B21,'Overall Ranks'!$B$2:$B$11,0))</f>
        <v>0.2857142857142857</v>
      </c>
      <c r="D21" s="72">
        <f>INDEX('Overall Ranks'!D$2:D$11,MATCH('Team wise graphs'!$B21,'Overall Ranks'!$B$2:$B$11,0))</f>
        <v>0.5714285714285714</v>
      </c>
      <c r="E21" s="72">
        <f>INDEX('Overall Ranks'!E$2:E$11,MATCH('Team wise graphs'!$B21,'Overall Ranks'!$B$2:$B$11,0))</f>
        <v>0.5</v>
      </c>
    </row>
    <row r="22" spans="1:5" x14ac:dyDescent="0.35">
      <c r="A22" s="1">
        <v>8</v>
      </c>
      <c r="B22" s="1" t="str">
        <f>'Overall Ranks'!B21</f>
        <v>PBKS</v>
      </c>
      <c r="C22" s="72">
        <f>INDEX('Overall Ranks'!C$2:C$11,MATCH('Team wise graphs'!$B22,'Overall Ranks'!$B$2:$B$11,0))</f>
        <v>0.5</v>
      </c>
      <c r="D22" s="72">
        <f>INDEX('Overall Ranks'!D$2:D$11,MATCH('Team wise graphs'!$B22,'Overall Ranks'!$B$2:$B$11,0))</f>
        <v>0.42857142857142855</v>
      </c>
      <c r="E22" s="72">
        <f>INDEX('Overall Ranks'!E$2:E$11,MATCH('Team wise graphs'!$B22,'Overall Ranks'!$B$2:$B$11,0))</f>
        <v>0.35714285714285715</v>
      </c>
    </row>
    <row r="23" spans="1:5" x14ac:dyDescent="0.35">
      <c r="A23" s="1">
        <v>9</v>
      </c>
      <c r="B23" s="1" t="str">
        <f>'Overall Ranks'!B22</f>
        <v>SRH</v>
      </c>
      <c r="C23" s="72">
        <f>INDEX('Overall Ranks'!C$2:C$11,MATCH('Team wise graphs'!$B23,'Overall Ranks'!$B$2:$B$11,0))</f>
        <v>0.42857142857142855</v>
      </c>
      <c r="D23" s="72">
        <f>INDEX('Overall Ranks'!D$2:D$11,MATCH('Team wise graphs'!$B23,'Overall Ranks'!$B$2:$B$11,0))</f>
        <v>0.2857142857142857</v>
      </c>
      <c r="E23" s="72">
        <f>INDEX('Overall Ranks'!E$2:E$11,MATCH('Team wise graphs'!$B23,'Overall Ranks'!$B$2:$B$11,0))</f>
        <v>0.5714285714285714</v>
      </c>
    </row>
    <row r="24" spans="1:5" x14ac:dyDescent="0.35">
      <c r="A24" s="1">
        <v>10</v>
      </c>
      <c r="B24" s="1" t="str">
        <f>'Overall Ranks'!B23</f>
        <v>MI</v>
      </c>
      <c r="C24" s="72">
        <f>INDEX('Overall Ranks'!C$2:C$11,MATCH('Team wise graphs'!$B24,'Overall Ranks'!$B$2:$B$11,0))</f>
        <v>0.2857142857142857</v>
      </c>
      <c r="D24" s="72">
        <f>INDEX('Overall Ranks'!D$2:D$11,MATCH('Team wise graphs'!$B24,'Overall Ranks'!$B$2:$B$11,0))</f>
        <v>0.5714285714285714</v>
      </c>
      <c r="E24" s="72">
        <f>INDEX('Overall Ranks'!E$2:E$11,MATCH('Team wise graphs'!$B24,'Overall Ranks'!$B$2:$B$11,0))</f>
        <v>0.2857142857142857</v>
      </c>
    </row>
  </sheetData>
  <mergeCells count="1">
    <mergeCell ref="A1:E1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2022 Data</vt:lpstr>
      <vt:lpstr>2023 Data</vt:lpstr>
      <vt:lpstr>2024 Data</vt:lpstr>
      <vt:lpstr>All season Rankings</vt:lpstr>
      <vt:lpstr>Overall Ranks</vt:lpstr>
      <vt:lpstr> Ranking based on Avg SDI		</vt:lpstr>
      <vt:lpstr>Team wise graphs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LEKHANA.M.S</dc:creator>
  <cp:lastModifiedBy>LEKHANA.M.S</cp:lastModifiedBy>
  <dcterms:created xsi:type="dcterms:W3CDTF">2026-02-04T20:01:06Z</dcterms:created>
  <dcterms:modified xsi:type="dcterms:W3CDTF">2026-02-26T10:54:35Z</dcterms:modified>
</cp:coreProperties>
</file>